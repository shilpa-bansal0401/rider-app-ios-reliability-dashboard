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TRUNC((1-SUMIFS(Dashboard!$X:$X,Dashboard!$Z:$Z,"*"&amp;$A2&amp;"*")/IF(SUMIFS(Dashboard!$V:$V,Dashboard!$U:$U,"*"&amp;$A2&amp;"*")&gt;0,SUMIFS(Dashboard!$V:$V,Dashboard!$U:$U,"*"&amp;$A2&amp;"*"),M2))*100,2)</f>
        <v/>
      </c>
      <c r="C2" s="4">
        <f>TRUNC((1-SUMIFS(Dashboard!$AB:$AB,Dashboard!$AD:$AD,"*"&amp;$A2&amp;"*")/IF(SUMIFS(Dashboard!$V:$V,Dashboard!$U:$U,"*"&amp;$A2&amp;"*")&gt;0,SUMIFS(Dashboard!$V:$V,Dashboard!$U:$U,"*"&amp;$A2&amp;"*"),M2))*100,2)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TRUNC((1-SUMIFS(Dashboard!$X:$X,Dashboard!$Z:$Z,"*"&amp;$A3&amp;"*")/IF(SUMIFS(Dashboard!$V:$V,Dashboard!$U:$U,"*"&amp;$A3&amp;"*")&gt;0,SUMIFS(Dashboard!$V:$V,Dashboard!$U:$U,"*"&amp;$A3&amp;"*"),M3))*100,2)</f>
        <v/>
      </c>
      <c r="C3" s="7">
        <f>TRUNC((1-SUMIFS(Dashboard!$AB:$AB,Dashboard!$AD:$AD,"*"&amp;$A3&amp;"*")/IF(SUMIFS(Dashboard!$V:$V,Dashboard!$U:$U,"*"&amp;$A3&amp;"*")&gt;0,SUMIFS(Dashboard!$V:$V,Dashboard!$U:$U,"*"&amp;$A3&amp;"*"),M3))*100,2)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TRUNC((1-SUMIFS(Dashboard!$X:$X,Dashboard!$Z:$Z,"*"&amp;$A4&amp;"*")/IF(SUMIFS(Dashboard!$V:$V,Dashboard!$U:$U,"*"&amp;$A4&amp;"*")&gt;0,SUMIFS(Dashboard!$V:$V,Dashboard!$U:$U,"*"&amp;$A4&amp;"*"),M4))*100,2)</f>
        <v/>
      </c>
      <c r="C4" s="4">
        <f>TRUNC((1-SUMIFS(Dashboard!$AB:$AB,Dashboard!$AD:$AD,"*"&amp;$A4&amp;"*")/IF(SUMIFS(Dashboard!$V:$V,Dashboard!$U:$U,"*"&amp;$A4&amp;"*")&gt;0,SUMIFS(Dashboard!$V:$V,Dashboard!$U:$U,"*"&amp;$A4&amp;"*"),M4))*100,2)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TRUNC((1-SUMIFS(Dashboard!$X:$X,Dashboard!$Z:$Z,"*"&amp;$A5&amp;"*")/IF(SUMIFS(Dashboard!$V:$V,Dashboard!$U:$U,"*"&amp;$A5&amp;"*")&gt;0,SUMIFS(Dashboard!$V:$V,Dashboard!$U:$U,"*"&amp;$A5&amp;"*"),M5))*100,2)</f>
        <v/>
      </c>
      <c r="C5" s="7">
        <f>TRUNC((1-SUMIFS(Dashboard!$AB:$AB,Dashboard!$AD:$AD,"*"&amp;$A5&amp;"*")/IF(SUMIFS(Dashboard!$V:$V,Dashboard!$U:$U,"*"&amp;$A5&amp;"*")&gt;0,SUMIFS(Dashboard!$V:$V,Dashboard!$U:$U,"*"&amp;$A5&amp;"*"),M5))*100,2)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TRUNC((1-SUMIFS(Dashboard!$X:$X,Dashboard!$Z:$Z,"*"&amp;$A6&amp;"*")/IF(SUMIFS(Dashboard!$V:$V,Dashboard!$U:$U,"*"&amp;$A6&amp;"*")&gt;0,SUMIFS(Dashboard!$V:$V,Dashboard!$U:$U,"*"&amp;$A6&amp;"*"),M6))*100,2)</f>
        <v/>
      </c>
      <c r="C6" s="4">
        <f>TRUNC((1-SUMIFS(Dashboard!$AB:$AB,Dashboard!$AD:$AD,"*"&amp;$A6&amp;"*")/IF(SUMIFS(Dashboard!$V:$V,Dashboard!$U:$U,"*"&amp;$A6&amp;"*")&gt;0,SUMIFS(Dashboard!$V:$V,Dashboard!$U:$U,"*"&amp;$A6&amp;"*"),M6))*100,2)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TRUNC((1-SUMIFS(Dashboard!$X:$X,Dashboard!$Z:$Z,"*"&amp;$A7&amp;"*")/IF(SUMIFS(Dashboard!$V:$V,Dashboard!$U:$U,"*"&amp;$A7&amp;"*")&gt;0,SUMIFS(Dashboard!$V:$V,Dashboard!$U:$U,"*"&amp;$A7&amp;"*"),M7))*100,2)</f>
        <v/>
      </c>
      <c r="C7" s="7">
        <f>TRUNC((1-SUMIFS(Dashboard!$AB:$AB,Dashboard!$AD:$AD,"*"&amp;$A7&amp;"*")/IF(SUMIFS(Dashboard!$V:$V,Dashboard!$U:$U,"*"&amp;$A7&amp;"*")&gt;0,SUMIFS(Dashboard!$V:$V,Dashboard!$U:$U,"*"&amp;$A7&amp;"*"),M7))*100,2)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TRUNC((1-SUMIFS(Dashboard!$X:$X,Dashboard!$Z:$Z,"*"&amp;$A8&amp;"*")/IF(SUMIFS(Dashboard!$V:$V,Dashboard!$U:$U,"*"&amp;$A8&amp;"*")&gt;0,SUMIFS(Dashboard!$V:$V,Dashboard!$U:$U,"*"&amp;$A8&amp;"*"),M8))*100,2)</f>
        <v/>
      </c>
      <c r="C8" s="4">
        <f>TRUNC((1-SUMIFS(Dashboard!$AB:$AB,Dashboard!$AD:$AD,"*"&amp;$A8&amp;"*")/IF(SUMIFS(Dashboard!$V:$V,Dashboard!$U:$U,"*"&amp;$A8&amp;"*")&gt;0,SUMIFS(Dashboard!$V:$V,Dashboard!$U:$U,"*"&amp;$A8&amp;"*"),M8))*100,2)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TRUNC((1-SUMIFS(Dashboard!$X:$X,Dashboard!$Z:$Z,"*"&amp;$A9&amp;"*")/IF(SUMIFS(Dashboard!$V:$V,Dashboard!$U:$U,"*"&amp;$A9&amp;"*")&gt;0,SUMIFS(Dashboard!$V:$V,Dashboard!$U:$U,"*"&amp;$A9&amp;"*"),M9))*100,2)</f>
        <v/>
      </c>
      <c r="C9" s="7">
        <f>TRUNC((1-SUMIFS(Dashboard!$AB:$AB,Dashboard!$AD:$AD,"*"&amp;$A9&amp;"*")/IF(SUMIFS(Dashboard!$V:$V,Dashboard!$U:$U,"*"&amp;$A9&amp;"*")&gt;0,SUMIFS(Dashboard!$V:$V,Dashboard!$U:$U,"*"&amp;$A9&amp;"*"),M9))*100,2)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TRUNC((1-SUMIFS(Dashboard!$X:$X,Dashboard!$Z:$Z,"*"&amp;$A10&amp;"*")/IF(SUMIFS(Dashboard!$V:$V,Dashboard!$U:$U,"*"&amp;$A10&amp;"*")&gt;0,SUMIFS(Dashboard!$V:$V,Dashboard!$U:$U,"*"&amp;$A10&amp;"*"),M10))*100,2)</f>
        <v/>
      </c>
      <c r="C10" s="4">
        <f>TRUNC((1-SUMIFS(Dashboard!$AB:$AB,Dashboard!$AD:$AD,"*"&amp;$A10&amp;"*")/IF(SUMIFS(Dashboard!$V:$V,Dashboard!$U:$U,"*"&amp;$A10&amp;"*")&gt;0,SUMIFS(Dashboard!$V:$V,Dashboard!$U:$U,"*"&amp;$A10&amp;"*"),M10))*100,2)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TRUNC((1-SUMIFS(Dashboard!$X:$X,Dashboard!$Z:$Z,"*"&amp;$A11&amp;"*")/IF(SUMIFS(Dashboard!$V:$V,Dashboard!$U:$U,"*"&amp;$A11&amp;"*")&gt;0,SUMIFS(Dashboard!$V:$V,Dashboard!$U:$U,"*"&amp;$A11&amp;"*"),M11))*100,2)</f>
        <v/>
      </c>
      <c r="C11" s="7">
        <f>TRUNC((1-SUMIFS(Dashboard!$AB:$AB,Dashboard!$AD:$AD,"*"&amp;$A11&amp;"*")/IF(SUMIFS(Dashboard!$V:$V,Dashboard!$U:$U,"*"&amp;$A11&amp;"*")&gt;0,SUMIFS(Dashboard!$V:$V,Dashboard!$U:$U,"*"&amp;$A11&amp;"*"),M11))*100,2)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ROUND((1-E2/IF(D2&gt;0,D2,SUMIFS(Consolidation!$M:$M,Consolidation!$A:$A,"*"&amp;$B$10&amp;"*")/30))*100,2)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ROUND(100*(1-K2/IF(D2&gt;0,D2,SUMIFS(Consolidation!$M:$M,Consolidation!$A:$A,"*"&amp;$B$10&amp;"*")/30)),2)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ROUND((1-E3/IF(D3&gt;0,D3,SUMIFS(Consolidation!$M:$M,Consolidation!$A:$A,"*"&amp;$B$10&amp;"*")/30))*100,2)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ROUND(100*(1-K3/IF(D3&gt;0,D3,SUMIFS(Consolidation!$M:$M,Consolidation!$A:$A,"*"&amp;$B$10&amp;"*")/30)),2)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ROUND((1-E4/IF(D4&gt;0,D4,SUMIFS(Consolidation!$M:$M,Consolidation!$A:$A,"*"&amp;$B$10&amp;"*")/30))*100,2)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ROUND(100*(1-K4/IF(D4&gt;0,D4,SUMIFS(Consolidation!$M:$M,Consolidation!$A:$A,"*"&amp;$B$10&amp;"*")/30)),2)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ROUND((1-E5/IF(D5&gt;0,D5,SUMIFS(Consolidation!$M:$M,Consolidation!$A:$A,"*"&amp;$B$10&amp;"*")/30))*100,2)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ROUND(100*(1-K5/IF(D5&gt;0,D5,SUMIFS(Consolidation!$M:$M,Consolidation!$A:$A,"*"&amp;$B$10&amp;"*")/30)),2)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ROUND((1-E6/IF(D6&gt;0,D6,SUMIFS(Consolidation!$M:$M,Consolidation!$A:$A,"*"&amp;$B$10&amp;"*")/30))*100,2)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ROUND(100*(1-K6/IF(D6&gt;0,D6,SUMIFS(Consolidation!$M:$M,Consolidation!$A:$A,"*"&amp;$B$10&amp;"*")/30)),2)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ROUND((1-E7/IF(D7&gt;0,D7,SUMIFS(Consolidation!$M:$M,Consolidation!$A:$A,"*"&amp;$B$10&amp;"*")/30))*100,2)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ROUND(100*(1-K7/IF(D7&gt;0,D7,SUMIFS(Consolidation!$M:$M,Consolidation!$A:$A,"*"&amp;$B$10&amp;"*")/30)),2)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ROUND((1-E8/IF(D8&gt;0,D8,SUMIFS(Consolidation!$M:$M,Consolidation!$A:$A,"*"&amp;$B$10&amp;"*")/30))*100,2)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ROUND(100*(1-K8/IF(D8&gt;0,D8,SUMIFS(Consolidation!$M:$M,Consolidation!$A:$A,"*"&amp;$B$10&amp;"*")/30)),2)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ROUND((1-E9/IF(D9&gt;0,D9,SUMIFS(Consolidation!$M:$M,Consolidation!$A:$A,"*"&amp;$B$10&amp;"*")/30))*100,2)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ROUND(100*(1-K9/IF(D9&gt;0,D9,SUMIFS(Consolidation!$M:$M,Consolidation!$A:$A,"*"&amp;$B$10&amp;"*")/30)),2)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ROUND((1-E10/IF(D10&gt;0,D10,SUMIFS(Consolidation!$M:$M,Consolidation!$A:$A,"*"&amp;$B$10&amp;"*")/30))*100,2)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ROUND(100*(1-K10/IF(D10&gt;0,D10,SUMIFS(Consolidation!$M:$M,Consolidation!$A:$A,"*"&amp;$B$10&amp;"*")/30)),2)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ROUND((1-E11/IF(D11&gt;0,D11,SUMIFS(Consolidation!$M:$M,Consolidation!$A:$A,"*"&amp;$B$10&amp;"*")/30))*100,2)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ROUND(100*(1-K11/IF(D11&gt;0,D11,SUMIFS(Consolidation!$M:$M,Consolidation!$A:$A,"*"&amp;$B$10&amp;"*")/30)),2)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ROUND((1-E12/IF(D12&gt;0,D12,SUMIFS(Consolidation!$M:$M,Consolidation!$A:$A,"*"&amp;$B$10&amp;"*")/30))*100,2)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ROUND(100*(1-K12/IF(D12&gt;0,D12,SUMIFS(Consolidation!$M:$M,Consolidation!$A:$A,"*"&amp;$B$10&amp;"*")/30)),2)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ROUND((1-E13/IF(D13&gt;0,D13,SUMIFS(Consolidation!$M:$M,Consolidation!$A:$A,"*"&amp;$B$10&amp;"*")/30))*100,2)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ROUND(100*(1-K13/IF(D13&gt;0,D13,SUMIFS(Consolidation!$M:$M,Consolidation!$A:$A,"*"&amp;$B$10&amp;"*")/30)),2)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ROUND((1-E14/IF(D14&gt;0,D14,SUMIFS(Consolidation!$M:$M,Consolidation!$A:$A,"*"&amp;$B$10&amp;"*")/30))*100,2)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ROUND(100*(1-K14/IF(D14&gt;0,D14,SUMIFS(Consolidation!$M:$M,Consolidation!$A:$A,"*"&amp;$B$10&amp;"*")/30)),2)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ROUND((1-E15/IF(D15&gt;0,D15,SUMIFS(Consolidation!$M:$M,Consolidation!$A:$A,"*"&amp;$B$10&amp;"*")/30))*100,2)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ROUND(100*(1-K15/IF(D15&gt;0,D15,SUMIFS(Consolidation!$M:$M,Consolidation!$A:$A,"*"&amp;$B$10&amp;"*")/30)),2)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ROUND((1-E16/IF(D16&gt;0,D16,SUMIFS(Consolidation!$M:$M,Consolidation!$A:$A,"*"&amp;$B$10&amp;"*")/30))*100,2)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ROUND(100*(1-K16/IF(D16&gt;0,D16,SUMIFS(Consolidation!$M:$M,Consolidation!$A:$A,"*"&amp;$B$10&amp;"*")/30)),2)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ROUND((1-E17/IF(D17&gt;0,D17,SUMIFS(Consolidation!$M:$M,Consolidation!$A:$A,"*"&amp;$B$10&amp;"*")/30))*100,2)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ROUND(100*(1-K17/IF(D17&gt;0,D17,SUMIFS(Consolidation!$M:$M,Consolidation!$A:$A,"*"&amp;$B$10&amp;"*")/30)),2)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ROUND((1-E18/IF(D18&gt;0,D18,SUMIFS(Consolidation!$M:$M,Consolidation!$A:$A,"*"&amp;$B$10&amp;"*")/30))*100,2)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ROUND(100*(1-K18/IF(D18&gt;0,D18,SUMIFS(Consolidation!$M:$M,Consolidation!$A:$A,"*"&amp;$B$10&amp;"*")/30)),2)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ROUND((1-E19/IF(D19&gt;0,D19,SUMIFS(Consolidation!$M:$M,Consolidation!$A:$A,"*"&amp;$B$10&amp;"*")/30))*100,2)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ROUND(100*(1-K19/IF(D19&gt;0,D19,SUMIFS(Consolidation!$M:$M,Consolidation!$A:$A,"*"&amp;$B$10&amp;"*")/30)),2)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ROUND((1-E20/IF(D20&gt;0,D20,SUMIFS(Consolidation!$M:$M,Consolidation!$A:$A,"*"&amp;$B$10&amp;"*")/30))*100,2)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ROUND(100*(1-K20/IF(D20&gt;0,D20,SUMIFS(Consolidation!$M:$M,Consolidation!$A:$A,"*"&amp;$B$10&amp;"*")/30)),2)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ROUND((1-E21/IF(D21&gt;0,D21,SUMIFS(Consolidation!$M:$M,Consolidation!$A:$A,"*"&amp;$B$10&amp;"*")/30))*100,2)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ROUND(100*(1-K21/IF(D21&gt;0,D21,SUMIFS(Consolidation!$M:$M,Consolidation!$A:$A,"*"&amp;$B$10&amp;"*")/30)),2)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ROUND((1-E22/IF(D22&gt;0,D22,SUMIFS(Consolidation!$M:$M,Consolidation!$A:$A,"*"&amp;$B$10&amp;"*")/30))*100,2)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ROUND(100*(1-K22/IF(D22&gt;0,D22,SUMIFS(Consolidation!$M:$M,Consolidation!$A:$A,"*"&amp;$B$10&amp;"*")/30)),2)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ROUND((1-E23/IF(D23&gt;0,D23,SUMIFS(Consolidation!$M:$M,Consolidation!$A:$A,"*"&amp;$B$10&amp;"*")/30))*100,2)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ROUND(100*(1-K23/IF(D23&gt;0,D23,SUMIFS(Consolidation!$M:$M,Consolidation!$A:$A,"*"&amp;$B$10&amp;"*")/30)),2)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ROUND((1-E24/IF(D24&gt;0,D24,SUMIFS(Consolidation!$M:$M,Consolidation!$A:$A,"*"&amp;$B$10&amp;"*")/30))*100,2)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ROUND(100*(1-K24/IF(D24&gt;0,D24,SUMIFS(Consolidation!$M:$M,Consolidation!$A:$A,"*"&amp;$B$10&amp;"*")/30)),2)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ROUND((1-E25/IF(D25&gt;0,D25,SUMIFS(Consolidation!$M:$M,Consolidation!$A:$A,"*"&amp;$B$10&amp;"*")/30))*100,2)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ROUND(100*(1-K25/IF(D25&gt;0,D25,SUMIFS(Consolidation!$M:$M,Consolidation!$A:$A,"*"&amp;$B$10&amp;"*")/30)),2)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ROUND((1-E26/IF(D26&gt;0,D26,SUMIFS(Consolidation!$M:$M,Consolidation!$A:$A,"*"&amp;$B$10&amp;"*")/30))*100,2)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ROUND(100*(1-K26/IF(D26&gt;0,D26,SUMIFS(Consolidation!$M:$M,Consolidation!$A:$A,"*"&amp;$B$10&amp;"*")/30)),2)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ROUND((1-E27/IF(D27&gt;0,D27,SUMIFS(Consolidation!$M:$M,Consolidation!$A:$A,"*"&amp;$B$10&amp;"*")/30))*100,2)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ROUND(100*(1-K27/IF(D27&gt;0,D27,SUMIFS(Consolidation!$M:$M,Consolidation!$A:$A,"*"&amp;$B$10&amp;"*")/30)),2)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AVERAGE(D2:D27)</f>
        <v/>
      </c>
      <c r="E33" s="27" t="n"/>
      <c r="F33" s="27" t="n"/>
      <c r="G33" s="28">
        <f>TRUNC((1-SUMIFS(X:X,Z:Z,"*"&amp;$B$10&amp;"*")/IF(SUMIFS(V:V,U:U,"*"&amp;$B$10&amp;"*")&gt;0,SUMIFS(V:V,U:U,"*"&amp;$B$10&amp;"*"),SUMIFS(Consolidation!$M:$M,Consolidation!$A:$A,"*"&amp;$B$10&amp;"*")))*100,2)</f>
        <v/>
      </c>
      <c r="H33" s="29">
        <f>AVERAGE(H2:H27)</f>
        <v/>
      </c>
      <c r="I33" s="29">
        <f>$B$2+H33</f>
        <v/>
      </c>
      <c r="J33" s="27" t="n"/>
      <c r="K33" s="27" t="n"/>
      <c r="L33" s="28">
        <f>TRUNC((1-SUMIFS(AB:AB,AD:AD,"*"&amp;$B$10&amp;"*")/IF(SUMIFS(V:V,U:U,"*"&amp;$B$10&amp;"*")&gt;0,SUMIFS(V:V,U:U,"*"&amp;$B$10&amp;"*"),SUMIFS(Consolidation!$M:$M,Consolidation!$A:$A,"*"&amp;$B$10&amp;"*")))*100,2)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541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2026-06-27T15:29:37Z</dcterms:created>
  <dcterms:modified xsi:type="dcterms:W3CDTF">2026-06-27T15:29:37Z</dcterms:modified>
</cp:coreProperties>
</file>