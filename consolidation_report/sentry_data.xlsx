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" sheetId="1" state="visible" r:id="rId1"/>
    <sheet name="Dashboard" sheetId="2" state="visible" r:id="rId2"/>
    <sheet name="v4.2640.3" sheetId="3" state="visible" r:id="rId3"/>
    <sheet name="v4.2640.3 C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3"/>
    </font>
    <font>
      <b val="1"/>
      <color rgb="009C5700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ADAD"/>
      </patternFill>
    </fill>
    <fill>
      <patternFill patternType="solid">
        <fgColor rgb="00C9B8F0"/>
      </patternFill>
    </fill>
    <fill>
      <patternFill patternType="solid">
        <fgColor rgb="00C6EFCE"/>
      </patternFill>
    </fill>
    <fill>
      <patternFill patternType="solid">
        <fgColor rgb="00B8D4E8"/>
      </patternFill>
    </fill>
    <fill>
      <patternFill patternType="solid">
        <fgColor rgb="00EEF4FB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4472C4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6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7" borderId="1" pivotButton="0" quotePrefix="0" xfId="0"/>
    <xf numFmtId="0" fontId="0" fillId="7" borderId="1" pivotButton="0" quotePrefix="0" xfId="0"/>
    <xf numFmtId="10" fontId="0" fillId="7" borderId="1" pivotButton="0" quotePrefix="0" xfId="0"/>
    <xf numFmtId="0" fontId="1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8" borderId="1" pivotButton="0" quotePrefix="0" xfId="0"/>
    <xf numFmtId="2" fontId="1" fillId="8" borderId="1" pivotButton="0" quotePrefix="0" xfId="0"/>
    <xf numFmtId="0" fontId="1" fillId="9" borderId="1" pivotButton="0" quotePrefix="0" xfId="0"/>
    <xf numFmtId="2" fontId="1" fillId="9" borderId="1" pivotButton="0" quotePrefix="0" xfId="0"/>
    <xf numFmtId="10" fontId="1" fillId="5" borderId="1" pivotButton="0" quotePrefix="0" xfId="0"/>
    <xf numFmtId="0" fontId="2" fillId="10" borderId="2" applyAlignment="1" pivotButton="0" quotePrefix="0" xfId="0">
      <alignment horizontal="right"/>
    </xf>
    <xf numFmtId="2" fontId="3" fillId="10" borderId="2" pivotButton="0" quotePrefix="0" xfId="0"/>
    <xf numFmtId="0" fontId="4" fillId="11" borderId="2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" fillId="5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8" borderId="2" pivotButton="0" quotePrefix="0" xfId="0"/>
    <xf numFmtId="0" fontId="1" fillId="8" borderId="2" pivotButton="0" quotePrefix="0" xfId="0"/>
    <xf numFmtId="1" fontId="0" fillId="9" borderId="2" pivotButton="0" quotePrefix="0" xfId="0"/>
    <xf numFmtId="0" fontId="0" fillId="9" borderId="2" pivotButton="0" quotePrefix="0" xfId="0"/>
    <xf numFmtId="164" fontId="0" fillId="9" borderId="2" pivotButton="0" quotePrefix="0" xfId="0"/>
    <xf numFmtId="2" fontId="0" fillId="9" borderId="2" pivotButton="0" quotePrefix="0" xfId="0"/>
    <xf numFmtId="0" fontId="1" fillId="5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Script</author>
  </authors>
  <commentList>
    <comment ref="D1" authorId="0" shapeId="0">
      <text>
        <t>Older values, not recently updated.
Update manually for accurate AQS score.</t>
      </text>
    </comment>
    <comment ref="E1" authorId="0" shapeId="0">
      <text>
        <t>Older values, not recently updated.
Update manually for accurate AQS score.</t>
      </text>
    </comment>
    <comment ref="F1" authorId="0" shapeId="0">
      <text>
        <t>Older values, not recently updated.
Update manually for accurate AQS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5" customWidth="1" min="13" max="13"/>
    <col width="16" customWidth="1" min="14" max="14"/>
  </cols>
  <sheetData>
    <row r="1" ht="40" customHeight="1">
      <c r="A1" s="1" t="inlineStr">
        <is>
          <t>Brand</t>
        </is>
      </c>
      <c r="B1" s="1" t="inlineStr">
        <is>
          <t>Crash free users</t>
        </is>
      </c>
      <c r="C1" s="1" t="inlineStr">
        <is>
          <t>App Hangs</t>
        </is>
      </c>
      <c r="D1" s="1" t="inlineStr">
        <is>
          <t>App size</t>
        </is>
      </c>
      <c r="E1" s="1" t="inlineStr">
        <is>
          <t>ASTI</t>
        </is>
      </c>
      <c r="F1" s="1" t="inlineStr">
        <is>
          <t>STTI</t>
        </is>
      </c>
      <c r="G1" s="1" t="inlineStr">
        <is>
          <t>Frozen Frames</t>
        </is>
      </c>
      <c r="H1" s="1" t="inlineStr">
        <is>
          <t>Skipped Frames</t>
        </is>
      </c>
      <c r="M1" s="2" t="inlineStr">
        <is>
          <t>Riders count</t>
        </is>
      </c>
      <c r="N1" s="2" t="inlineStr">
        <is>
          <t>Weight Rider ID</t>
        </is>
      </c>
    </row>
    <row r="2">
      <c r="A2" s="3" t="inlineStr">
        <is>
          <t>Foodpanda</t>
        </is>
      </c>
      <c r="B2" s="4">
        <f>TRUNC(MAX(0,MIN(100,(1-SUMIFS(Dashboard!$X:$X,Dashboard!$Z:$Z,"*"&amp;$A2&amp;"*")/IF(SUMIFS(Dashboard!$V:$V,Dashboard!$U:$U,"*"&amp;$A2&amp;"*")&gt;0,SUMIFS(Dashboard!$V:$V,Dashboard!$U:$U,"*"&amp;$A2&amp;"*"),M2*31))*100)),2)</f>
        <v/>
      </c>
      <c r="C2" s="4">
        <f>TRUNC(MAX(0,MIN(100,(1-SUMIFS(Dashboard!$AB:$AB,Dashboard!$AD:$AD,"*"&amp;$A2&amp;"*")/IF(SUMIFS(Dashboard!$V:$V,Dashboard!$U:$U,"*"&amp;$A2&amp;"*")&gt;0,SUMIFS(Dashboard!$V:$V,Dashboard!$U:$U,"*"&amp;$A2&amp;"*"),M2*31))*100)),2)</f>
        <v/>
      </c>
      <c r="D2" s="4" t="n">
        <v>77.8</v>
      </c>
      <c r="E2" s="4" t="n">
        <v>4.34</v>
      </c>
      <c r="F2" s="4" t="n">
        <v>1.1</v>
      </c>
      <c r="G2" s="4" t="n">
        <v>2.64</v>
      </c>
      <c r="H2" s="4" t="n">
        <v>0.92</v>
      </c>
      <c r="M2" s="4" t="n">
        <v>78203</v>
      </c>
      <c r="N2" s="5" t="n">
        <v>0.3966</v>
      </c>
    </row>
    <row r="3">
      <c r="A3" s="6" t="inlineStr">
        <is>
          <t>Foodora</t>
        </is>
      </c>
      <c r="B3" s="7">
        <f>TRUNC(MAX(0,MIN(100,(1-SUMIFS(Dashboard!$X:$X,Dashboard!$Z:$Z,"*"&amp;$A3&amp;"*")/IF(SUMIFS(Dashboard!$V:$V,Dashboard!$U:$U,"*"&amp;$A3&amp;"*")&gt;0,SUMIFS(Dashboard!$V:$V,Dashboard!$U:$U,"*"&amp;$A3&amp;"*"),M3*31))*100)),2)</f>
        <v/>
      </c>
      <c r="C3" s="7">
        <f>TRUNC(MAX(0,MIN(100,(1-SUMIFS(Dashboard!$AB:$AB,Dashboard!$AD:$AD,"*"&amp;$A3&amp;"*")/IF(SUMIFS(Dashboard!$V:$V,Dashboard!$U:$U,"*"&amp;$A3&amp;"*")&gt;0,SUMIFS(Dashboard!$V:$V,Dashboard!$U:$U,"*"&amp;$A3&amp;"*"),M3*31))*100)),2)</f>
        <v/>
      </c>
      <c r="D3" s="7" t="n">
        <v>83.2</v>
      </c>
      <c r="E3" s="7" t="n">
        <v>4.34</v>
      </c>
      <c r="F3" s="7" t="n">
        <v>1.1</v>
      </c>
      <c r="G3" s="7" t="n">
        <v>2.64</v>
      </c>
      <c r="H3" s="7" t="n">
        <v>0.92</v>
      </c>
      <c r="M3" s="7" t="n">
        <v>14946</v>
      </c>
      <c r="N3" s="8" t="n">
        <v>0.07580000000000001</v>
      </c>
    </row>
    <row r="4">
      <c r="A4" s="3" t="inlineStr">
        <is>
          <t>Talabat</t>
        </is>
      </c>
      <c r="B4" s="4">
        <f>TRUNC(MAX(0,MIN(100,(1-SUMIFS(Dashboard!$X:$X,Dashboard!$Z:$Z,"*"&amp;$A4&amp;"*")/IF(SUMIFS(Dashboard!$V:$V,Dashboard!$U:$U,"*"&amp;$A4&amp;"*")&gt;0,SUMIFS(Dashboard!$V:$V,Dashboard!$U:$U,"*"&amp;$A4&amp;"*"),M4*31))*100)),2)</f>
        <v/>
      </c>
      <c r="C4" s="4">
        <f>TRUNC(MAX(0,MIN(100,(1-SUMIFS(Dashboard!$AB:$AB,Dashboard!$AD:$AD,"*"&amp;$A4&amp;"*")/IF(SUMIFS(Dashboard!$V:$V,Dashboard!$U:$U,"*"&amp;$A4&amp;"*")&gt;0,SUMIFS(Dashboard!$V:$V,Dashboard!$U:$U,"*"&amp;$A4&amp;"*"),M4*31))*100)),2)</f>
        <v/>
      </c>
      <c r="D4" s="4" t="n">
        <v>77.8</v>
      </c>
      <c r="E4" s="4" t="n">
        <v>4.34</v>
      </c>
      <c r="F4" s="4" t="n">
        <v>1.1</v>
      </c>
      <c r="G4" s="4" t="n">
        <v>2.64</v>
      </c>
      <c r="H4" s="4" t="n">
        <v>0.92</v>
      </c>
      <c r="M4" s="4" t="n">
        <v>16988</v>
      </c>
      <c r="N4" s="5" t="n">
        <v>0.0861</v>
      </c>
    </row>
    <row r="5">
      <c r="A5" s="6" t="inlineStr">
        <is>
          <t>pedidosya</t>
        </is>
      </c>
      <c r="B5" s="7">
        <f>TRUNC(MAX(0,MIN(100,(1-SUMIFS(Dashboard!$X:$X,Dashboard!$Z:$Z,"*"&amp;$A5&amp;"*")/IF(SUMIFS(Dashboard!$V:$V,Dashboard!$U:$U,"*"&amp;$A5&amp;"*")&gt;0,SUMIFS(Dashboard!$V:$V,Dashboard!$U:$U,"*"&amp;$A5&amp;"*"),M5*31))*100)),2)</f>
        <v/>
      </c>
      <c r="C5" s="7">
        <f>TRUNC(MAX(0,MIN(100,(1-SUMIFS(Dashboard!$AB:$AB,Dashboard!$AD:$AD,"*"&amp;$A5&amp;"*")/IF(SUMIFS(Dashboard!$V:$V,Dashboard!$U:$U,"*"&amp;$A5&amp;"*")&gt;0,SUMIFS(Dashboard!$V:$V,Dashboard!$U:$U,"*"&amp;$A5&amp;"*"),M5*31))*100)),2)</f>
        <v/>
      </c>
      <c r="D5" s="7" t="n">
        <v>68.40000000000001</v>
      </c>
      <c r="E5" s="7" t="n">
        <v>4.34</v>
      </c>
      <c r="F5" s="7" t="n">
        <v>1.1</v>
      </c>
      <c r="G5" s="7" t="n">
        <v>2.64</v>
      </c>
      <c r="H5" s="7" t="n">
        <v>0.92</v>
      </c>
      <c r="M5" s="7" t="n">
        <v>20641</v>
      </c>
      <c r="N5" s="8" t="n">
        <v>0.1047</v>
      </c>
    </row>
    <row r="6">
      <c r="A6" s="3" t="inlineStr">
        <is>
          <t>HungerStation</t>
        </is>
      </c>
      <c r="B6" s="4">
        <f>TRUNC(MAX(0,MIN(100,(1-SUMIFS(Dashboard!$X:$X,Dashboard!$Z:$Z,"*"&amp;$A6&amp;"*")/IF(SUMIFS(Dashboard!$V:$V,Dashboard!$U:$U,"*"&amp;$A6&amp;"*")&gt;0,SUMIFS(Dashboard!$V:$V,Dashboard!$U:$U,"*"&amp;$A6&amp;"*"),M6*31))*100)),2)</f>
        <v/>
      </c>
      <c r="C6" s="4">
        <f>TRUNC(MAX(0,MIN(100,(1-SUMIFS(Dashboard!$AB:$AB,Dashboard!$AD:$AD,"*"&amp;$A6&amp;"*")/IF(SUMIFS(Dashboard!$V:$V,Dashboard!$U:$U,"*"&amp;$A6&amp;"*")&gt;0,SUMIFS(Dashboard!$V:$V,Dashboard!$U:$U,"*"&amp;$A6&amp;"*"),M6*31))*100)),2)</f>
        <v/>
      </c>
      <c r="D6" s="4" t="n">
        <v>78.3</v>
      </c>
      <c r="E6" s="4" t="n">
        <v>4.34</v>
      </c>
      <c r="F6" s="4" t="n">
        <v>1.1</v>
      </c>
      <c r="G6" s="4" t="n">
        <v>2.64</v>
      </c>
      <c r="H6" s="4" t="n">
        <v>0.92</v>
      </c>
      <c r="M6" s="4" t="n">
        <v>10630</v>
      </c>
      <c r="N6" s="5" t="n">
        <v>0.0539</v>
      </c>
    </row>
    <row r="7">
      <c r="A7" s="6" t="inlineStr">
        <is>
          <t>Yemeksepeti</t>
        </is>
      </c>
      <c r="B7" s="7">
        <f>TRUNC(MAX(0,MIN(100,(1-SUMIFS(Dashboard!$X:$X,Dashboard!$Z:$Z,"*"&amp;$A7&amp;"*")/IF(SUMIFS(Dashboard!$V:$V,Dashboard!$U:$U,"*"&amp;$A7&amp;"*")&gt;0,SUMIFS(Dashboard!$V:$V,Dashboard!$U:$U,"*"&amp;$A7&amp;"*"),M7*31))*100)),2)</f>
        <v/>
      </c>
      <c r="C7" s="7">
        <f>TRUNC(MAX(0,MIN(100,(1-SUMIFS(Dashboard!$AB:$AB,Dashboard!$AD:$AD,"*"&amp;$A7&amp;"*")/IF(SUMIFS(Dashboard!$V:$V,Dashboard!$U:$U,"*"&amp;$A7&amp;"*")&gt;0,SUMIFS(Dashboard!$V:$V,Dashboard!$U:$U,"*"&amp;$A7&amp;"*"),M7*31))*100)),2)</f>
        <v/>
      </c>
      <c r="D7" s="7" t="n">
        <v>78.3</v>
      </c>
      <c r="E7" s="7" t="n">
        <v>4.34</v>
      </c>
      <c r="F7" s="7" t="n">
        <v>1.1</v>
      </c>
      <c r="G7" s="7" t="n">
        <v>2.64</v>
      </c>
      <c r="H7" s="7" t="n">
        <v>0.92</v>
      </c>
      <c r="M7" s="7" t="n">
        <v>2186</v>
      </c>
      <c r="N7" s="8" t="n">
        <v>0.0111</v>
      </c>
    </row>
    <row r="8">
      <c r="A8" s="3" t="inlineStr">
        <is>
          <t>Glovo</t>
        </is>
      </c>
      <c r="B8" s="4">
        <f>TRUNC(MAX(0,MIN(100,(1-SUMIFS(Dashboard!$X:$X,Dashboard!$Z:$Z,"*"&amp;$A8&amp;"*")/IF(SUMIFS(Dashboard!$V:$V,Dashboard!$U:$U,"*"&amp;$A8&amp;"*")&gt;0,SUMIFS(Dashboard!$V:$V,Dashboard!$U:$U,"*"&amp;$A8&amp;"*"),M8*31))*100)),2)</f>
        <v/>
      </c>
      <c r="C8" s="4">
        <f>TRUNC(MAX(0,MIN(100,(1-SUMIFS(Dashboard!$AB:$AB,Dashboard!$AD:$AD,"*"&amp;$A8&amp;"*")/IF(SUMIFS(Dashboard!$V:$V,Dashboard!$U:$U,"*"&amp;$A8&amp;"*")&gt;0,SUMIFS(Dashboard!$V:$V,Dashboard!$U:$U,"*"&amp;$A8&amp;"*"),M8*31))*100)),2)</f>
        <v/>
      </c>
      <c r="D8" s="4" t="n">
        <v>77.90000000000001</v>
      </c>
      <c r="E8" s="4" t="n">
        <v>4.34</v>
      </c>
      <c r="F8" s="4" t="n">
        <v>1.1</v>
      </c>
      <c r="G8" s="4" t="n">
        <v>2.64</v>
      </c>
      <c r="H8" s="4" t="n">
        <v>0.92</v>
      </c>
      <c r="M8" s="4" t="n">
        <v>46896</v>
      </c>
      <c r="N8" s="5" t="n">
        <v>0.2378</v>
      </c>
    </row>
    <row r="9">
      <c r="A9" s="6" t="inlineStr">
        <is>
          <t>Woowa</t>
        </is>
      </c>
      <c r="B9" s="7">
        <f>TRUNC(MAX(0,MIN(100,(1-SUMIFS(Dashboard!$X:$X,Dashboard!$Z:$Z,"*"&amp;$A9&amp;"*")/IF(SUMIFS(Dashboard!$V:$V,Dashboard!$U:$U,"*"&amp;$A9&amp;"*")&gt;0,SUMIFS(Dashboard!$V:$V,Dashboard!$U:$U,"*"&amp;$A9&amp;"*"),M9*31))*100)),2)</f>
        <v/>
      </c>
      <c r="C9" s="7">
        <f>TRUNC(MAX(0,MIN(100,(1-SUMIFS(Dashboard!$AB:$AB,Dashboard!$AD:$AD,"*"&amp;$A9&amp;"*")/IF(SUMIFS(Dashboard!$V:$V,Dashboard!$U:$U,"*"&amp;$A9&amp;"*")&gt;0,SUMIFS(Dashboard!$V:$V,Dashboard!$U:$U,"*"&amp;$A9&amp;"*"),M9*31))*100)),2)</f>
        <v/>
      </c>
      <c r="D9" s="7" t="n">
        <v>78</v>
      </c>
      <c r="E9" s="7" t="n">
        <v>4.34</v>
      </c>
      <c r="F9" s="7" t="n">
        <v>1.1</v>
      </c>
      <c r="G9" s="7" t="n">
        <v>2.64</v>
      </c>
      <c r="H9" s="7" t="n">
        <v>0.92</v>
      </c>
      <c r="M9" s="7" t="n">
        <v>731</v>
      </c>
      <c r="N9" s="8" t="n">
        <v>0.0037</v>
      </c>
    </row>
    <row r="10">
      <c r="A10" s="3" t="inlineStr">
        <is>
          <t>efood</t>
        </is>
      </c>
      <c r="B10" s="4">
        <f>TRUNC(MAX(0,MIN(100,(1-SUMIFS(Dashboard!$X:$X,Dashboard!$Z:$Z,"*"&amp;$A10&amp;"*")/IF(SUMIFS(Dashboard!$V:$V,Dashboard!$U:$U,"*"&amp;$A10&amp;"*")&gt;0,SUMIFS(Dashboard!$V:$V,Dashboard!$U:$U,"*"&amp;$A10&amp;"*"),M10*31))*100)),2)</f>
        <v/>
      </c>
      <c r="C10" s="4">
        <f>TRUNC(MAX(0,MIN(100,(1-SUMIFS(Dashboard!$AB:$AB,Dashboard!$AD:$AD,"*"&amp;$A10&amp;"*")/IF(SUMIFS(Dashboard!$V:$V,Dashboard!$U:$U,"*"&amp;$A10&amp;"*")&gt;0,SUMIFS(Dashboard!$V:$V,Dashboard!$U:$U,"*"&amp;$A10&amp;"*"),M10*31))*100)),2)</f>
        <v/>
      </c>
      <c r="D10" s="4" t="n">
        <v>68.09999999999999</v>
      </c>
      <c r="E10" s="4" t="n">
        <v>4.34</v>
      </c>
      <c r="F10" s="4" t="n">
        <v>1.1</v>
      </c>
      <c r="G10" s="4" t="n">
        <v>2.64</v>
      </c>
      <c r="H10" s="4" t="n">
        <v>0.92</v>
      </c>
      <c r="M10" s="4" t="n">
        <v>5258</v>
      </c>
      <c r="N10" s="5" t="n">
        <v>0.0267</v>
      </c>
    </row>
    <row r="11">
      <c r="A11" s="6" t="inlineStr">
        <is>
          <t>Foody</t>
        </is>
      </c>
      <c r="B11" s="7">
        <f>TRUNC(MAX(0,MIN(100,(1-SUMIFS(Dashboard!$X:$X,Dashboard!$Z:$Z,"*"&amp;$A11&amp;"*")/IF(SUMIFS(Dashboard!$V:$V,Dashboard!$U:$U,"*"&amp;$A11&amp;"*")&gt;0,SUMIFS(Dashboard!$V:$V,Dashboard!$U:$U,"*"&amp;$A11&amp;"*"),M11*31))*100)),2)</f>
        <v/>
      </c>
      <c r="C11" s="7">
        <f>TRUNC(MAX(0,MIN(100,(1-SUMIFS(Dashboard!$AB:$AB,Dashboard!$AD:$AD,"*"&amp;$A11&amp;"*")/IF(SUMIFS(Dashboard!$V:$V,Dashboard!$U:$U,"*"&amp;$A11&amp;"*")&gt;0,SUMIFS(Dashboard!$V:$V,Dashboard!$U:$U,"*"&amp;$A11&amp;"*"),M11*31))*100)),2)</f>
        <v/>
      </c>
      <c r="D11" s="7" t="n">
        <v>68.09999999999999</v>
      </c>
      <c r="E11" s="7" t="n">
        <v>4.34</v>
      </c>
      <c r="F11" s="7" t="n">
        <v>1.1</v>
      </c>
      <c r="G11" s="7" t="n">
        <v>2.64</v>
      </c>
      <c r="H11" s="7" t="n">
        <v>0.92</v>
      </c>
      <c r="M11" s="7" t="n">
        <v>729</v>
      </c>
      <c r="N11" s="8" t="n">
        <v>0.0037</v>
      </c>
    </row>
    <row r="12">
      <c r="A12" s="9" t="inlineStr">
        <is>
          <t>AVG</t>
        </is>
      </c>
      <c r="B12" s="10">
        <f>TRUNC(SUMPRODUCT(B2:B11,N2:N11),2)</f>
        <v/>
      </c>
      <c r="C12" s="10">
        <f>TRUNC(SUMPRODUCT(C2:C11,N2:N11),2)</f>
        <v/>
      </c>
      <c r="D12" s="10">
        <f>TRUNC(SUMPRODUCT(D2:D11,N2:N11),2)</f>
        <v/>
      </c>
      <c r="E12" s="10">
        <f>TRUNC(SUMPRODUCT(E2:E11,N2:N11),2)</f>
        <v/>
      </c>
      <c r="F12" s="10">
        <f>TRUNC(SUMPRODUCT(F2:F11,N2:N11),2)</f>
        <v/>
      </c>
      <c r="G12" s="10">
        <f>TRUNC(SUMPRODUCT(G2:G11,N2:N11),2)</f>
        <v/>
      </c>
      <c r="H12" s="10">
        <f>TRUNC(SUMPRODUCT(H2:H11,N2:N11),2)</f>
        <v/>
      </c>
    </row>
    <row r="13">
      <c r="A13" s="11" t="inlineStr">
        <is>
          <t>AQS</t>
        </is>
      </c>
      <c r="B13" s="12">
        <f>MIN(100,MAX(0,(((B12-99.7)/(99.9-99.7))*50)+50))*35%</f>
        <v/>
      </c>
      <c r="C13" s="12">
        <f>MIN(100,MAX(0,(((C12-99.7)/(99.9-99.7))*50)+50))*25%</f>
        <v/>
      </c>
      <c r="D13" s="12">
        <f>MIN(100,MAX(0,(((D12-75)/(60-75))*50)+50))*2%</f>
        <v/>
      </c>
      <c r="E13" s="12">
        <f>MIN(100,MAX(0,(((E12-4)/(2-4))*50)+50))*10%</f>
        <v/>
      </c>
      <c r="F13" s="12">
        <f>MIN(100,MAX(0,(((F12-1.5)/(0.5-1.5))*50)+50))*10%</f>
        <v/>
      </c>
      <c r="G13" s="12">
        <f>MIN(100,MAX(0,(((G12-3)/(1-3))*50)+50))*13%</f>
        <v/>
      </c>
      <c r="H13" s="12">
        <f>MIN(100,MAX(0,(((H12-2)/(1-2))*50)+50))*5%</f>
        <v/>
      </c>
      <c r="M13" s="11">
        <f>SUM(M2:M11)</f>
        <v/>
      </c>
      <c r="N13" s="13">
        <f>SUM(N2:N11)</f>
        <v/>
      </c>
    </row>
    <row r="15">
      <c r="A15" s="14" t="inlineStr">
        <is>
          <t>FINAL AQS =</t>
        </is>
      </c>
      <c r="B15" s="15">
        <f>ROUND(SUM(B13:H13),2)</f>
        <v/>
      </c>
    </row>
    <row r="17" ht="30" customHeight="1">
      <c r="A17" s="16" t="inlineStr">
        <is>
          <t>⚠  App size, ASTI and STTI have the older values, not recently updated. Update these columns manually before sharing. For the accurate AQS score, update these values.</t>
        </is>
      </c>
      <c r="B17" s="17" t="n"/>
      <c r="C17" s="17" t="n"/>
      <c r="D17" s="17" t="n"/>
      <c r="E17" s="17" t="n"/>
      <c r="F17" s="17" t="n"/>
      <c r="G17" s="17" t="n"/>
      <c r="H17" s="18" t="n"/>
    </row>
  </sheetData>
  <mergeCells count="1">
    <mergeCell ref="A17:H1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0" customWidth="1" min="4" max="4"/>
    <col width="28" customWidth="1" min="5" max="5"/>
    <col width="4" customWidth="1" min="6" max="6"/>
    <col width="12" customWidth="1" min="7" max="7"/>
    <col width="22" customWidth="1" min="8" max="8"/>
    <col width="22" customWidth="1" min="9" max="9"/>
    <col width="4" customWidth="1" min="10" max="10"/>
    <col width="24" customWidth="1" min="11" max="11"/>
    <col width="14" customWidth="1" min="12" max="12"/>
    <col width="22" customWidth="1" min="13" max="13"/>
    <col width="30" customWidth="1" min="14" max="14"/>
    <col width="22" customWidth="1" min="20" max="20"/>
    <col width="22" customWidth="1" min="21" max="21"/>
    <col width="22" customWidth="1" min="22" max="22"/>
    <col width="4" customWidth="1" min="23" max="23"/>
    <col width="22" customWidth="1" min="24" max="24"/>
    <col width="22" customWidth="1" min="25" max="25"/>
    <col width="22" customWidth="1" min="26" max="26"/>
    <col width="4" customWidth="1" min="27" max="27"/>
    <col width="22" customWidth="1" min="28" max="28"/>
    <col width="22" customWidth="1" min="29" max="29"/>
    <col width="22" customWidth="1" min="30" max="30"/>
  </cols>
  <sheetData>
    <row r="1" ht="45" customHeight="1">
      <c r="A1" s="19" t="inlineStr">
        <is>
          <t>CFU part in AQS</t>
        </is>
      </c>
      <c r="B1" s="20" t="n">
        <v>60</v>
      </c>
      <c r="C1" s="1" t="inlineStr">
        <is>
          <t>Date</t>
        </is>
      </c>
      <c r="D1" s="1" t="inlineStr">
        <is>
          <t>Total users count (ios_User_Count)</t>
        </is>
      </c>
      <c r="E1" s="1" t="inlineStr">
        <is>
          <t>Crashed users count (Query)</t>
        </is>
      </c>
      <c r="F1" s="7" t="n"/>
      <c r="G1" s="1" t="inlineStr">
        <is>
          <t>CFU %</t>
        </is>
      </c>
      <c r="H1" s="7" t="n"/>
      <c r="I1" s="7" t="n"/>
      <c r="J1" s="7" t="n"/>
      <c r="K1" s="1" t="inlineStr">
        <is>
          <t>Hang user count (Query)</t>
        </is>
      </c>
      <c r="L1" s="1" t="inlineStr">
        <is>
          <t>Hang free %</t>
        </is>
      </c>
      <c r="M1" s="7" t="n"/>
      <c r="N1" s="1" t="inlineStr">
        <is>
          <t>Projected AQS including hangs</t>
        </is>
      </c>
      <c r="T1" s="21" t="inlineStr">
        <is>
          <t>dt</t>
        </is>
      </c>
      <c r="U1" s="21" t="inlineStr">
        <is>
          <t>appId</t>
        </is>
      </c>
      <c r="V1" s="21" t="inlineStr">
        <is>
          <t>user_count</t>
        </is>
      </c>
      <c r="X1" s="22" t="inlineStr">
        <is>
          <t>CRASH_USERS</t>
        </is>
      </c>
      <c r="Y1" s="22" t="inlineStr">
        <is>
          <t>day</t>
        </is>
      </c>
      <c r="Z1" s="22" t="inlineStr">
        <is>
          <t>Brand</t>
        </is>
      </c>
      <c r="AB1" s="23" t="inlineStr">
        <is>
          <t>HANG_USERS</t>
        </is>
      </c>
      <c r="AC1" s="23" t="inlineStr">
        <is>
          <t>day</t>
        </is>
      </c>
      <c r="AD1" s="23" t="inlineStr">
        <is>
          <t>Brand</t>
        </is>
      </c>
    </row>
    <row r="2">
      <c r="A2" s="19" t="inlineStr">
        <is>
          <t>base AQS score</t>
        </is>
      </c>
      <c r="B2" s="20" t="n">
        <v>32.65</v>
      </c>
      <c r="C2" s="4" t="inlineStr">
        <is>
          <t>2026-10-01</t>
        </is>
      </c>
      <c r="D2" s="4">
        <f>SUMIFS(V:V,U:U,"*"&amp;$B$10&amp;"*",T:T,C2)</f>
        <v/>
      </c>
      <c r="E2" s="4">
        <f>SUMIFS(X:X,Z:Z,"*"&amp;$B$10&amp;"*",Y:Y,C2)</f>
        <v/>
      </c>
      <c r="F2" s="4" t="n"/>
      <c r="G2" s="4">
        <f>ROUND(MAX(0,MIN(100,(1-E2/IF(D2&gt;0,D2,SUMIFS(Consolidation!$M:$M,Consolidation!$A:$A,"*"&amp;$B$10&amp;"*")/31))*100)),2)</f>
        <v/>
      </c>
      <c r="H2" s="4">
        <f>MIN(1,(G2-$B$3)/($B$4-$B$3))*$B$1</f>
        <v/>
      </c>
      <c r="I2" s="4" t="n"/>
      <c r="J2" s="4" t="n"/>
      <c r="K2" s="4">
        <f>SUMIFS(AB:AB,AD:AD,"*"&amp;$B$10&amp;"*",AC:AC,C2)</f>
        <v/>
      </c>
      <c r="L2" s="4">
        <f>ROUND(MAX(0,MIN(100,100*(1-K2/IF(D2&gt;0,D2,SUMIFS(Consolidation!$M:$M,Consolidation!$A:$A,"*"&amp;$B$10&amp;"*")/31)))),2)</f>
        <v/>
      </c>
      <c r="M2" s="4">
        <f>MAX(0,(L2-$B$6)/($B$7-$B$6)*$B$8)</f>
        <v/>
      </c>
      <c r="N2" s="4">
        <f>$B$2+H2+M2</f>
        <v/>
      </c>
      <c r="T2" s="4" t="n"/>
      <c r="U2" s="4" t="n"/>
      <c r="V2" s="4" t="n"/>
      <c r="X2" s="4" t="n">
        <v>76</v>
      </c>
      <c r="Y2" s="4" t="inlineStr">
        <is>
          <t>2026-10-01</t>
        </is>
      </c>
      <c r="Z2" s="4" t="inlineStr">
        <is>
          <t>com.logistics.rider.foodpanda</t>
        </is>
      </c>
      <c r="AB2" s="4" t="n">
        <v>310</v>
      </c>
      <c r="AC2" s="4" t="inlineStr">
        <is>
          <t>2026-10-01</t>
        </is>
      </c>
      <c r="AD2" s="4" t="inlineStr">
        <is>
          <t>com.logistics.rider.foodpanda</t>
        </is>
      </c>
    </row>
    <row r="3">
      <c r="A3" s="19" t="inlineStr">
        <is>
          <t>CFU minimum</t>
        </is>
      </c>
      <c r="B3" s="20" t="n">
        <v>99.5</v>
      </c>
      <c r="C3" s="7" t="inlineStr">
        <is>
          <t>2026-10-02</t>
        </is>
      </c>
      <c r="D3" s="7">
        <f>SUMIFS(V:V,U:U,"*"&amp;$B$10&amp;"*",T:T,C3)</f>
        <v/>
      </c>
      <c r="E3" s="7">
        <f>SUMIFS(X:X,Z:Z,"*"&amp;$B$10&amp;"*",Y:Y,C3)</f>
        <v/>
      </c>
      <c r="F3" s="7" t="n"/>
      <c r="G3" s="7">
        <f>ROUND(MAX(0,MIN(100,(1-E3/IF(D3&gt;0,D3,SUMIFS(Consolidation!$M:$M,Consolidation!$A:$A,"*"&amp;$B$10&amp;"*")/31))*100)),2)</f>
        <v/>
      </c>
      <c r="H3" s="7">
        <f>MIN(1,(G3-$B$3)/($B$4-$B$3))*$B$1</f>
        <v/>
      </c>
      <c r="I3" s="7" t="n"/>
      <c r="J3" s="7" t="n"/>
      <c r="K3" s="7">
        <f>SUMIFS(AB:AB,AD:AD,"*"&amp;$B$10&amp;"*",AC:AC,C3)</f>
        <v/>
      </c>
      <c r="L3" s="7">
        <f>ROUND(MAX(0,MIN(100,100*(1-K3/IF(D3&gt;0,D3,SUMIFS(Consolidation!$M:$M,Consolidation!$A:$A,"*"&amp;$B$10&amp;"*")/31)))),2)</f>
        <v/>
      </c>
      <c r="M3" s="7">
        <f>MAX(0,(L3-$B$6)/($B$7-$B$6)*$B$8)</f>
        <v/>
      </c>
      <c r="N3" s="7">
        <f>$B$2+H3+M3</f>
        <v/>
      </c>
      <c r="T3" s="7" t="n"/>
      <c r="U3" s="7" t="n"/>
      <c r="V3" s="7" t="n"/>
      <c r="X3" s="7" t="n">
        <v>9</v>
      </c>
      <c r="Y3" s="7" t="inlineStr">
        <is>
          <t>2026-10-01</t>
        </is>
      </c>
      <c r="Z3" s="7" t="inlineStr">
        <is>
          <t>com.logistics.rider.foodpanda</t>
        </is>
      </c>
      <c r="AB3" s="7" t="n">
        <v>34</v>
      </c>
      <c r="AC3" s="7" t="inlineStr">
        <is>
          <t>2026-10-01</t>
        </is>
      </c>
      <c r="AD3" s="7" t="inlineStr">
        <is>
          <t>com.logistics.rider.foodpanda</t>
        </is>
      </c>
    </row>
    <row r="4">
      <c r="A4" s="19" t="inlineStr">
        <is>
          <t>CFU maximum</t>
        </is>
      </c>
      <c r="B4" s="20" t="n">
        <v>99.90000000000001</v>
      </c>
      <c r="C4" s="4" t="inlineStr">
        <is>
          <t>2026-10-03</t>
        </is>
      </c>
      <c r="D4" s="4">
        <f>SUMIFS(V:V,U:U,"*"&amp;$B$10&amp;"*",T:T,C4)</f>
        <v/>
      </c>
      <c r="E4" s="4">
        <f>SUMIFS(X:X,Z:Z,"*"&amp;$B$10&amp;"*",Y:Y,C4)</f>
        <v/>
      </c>
      <c r="F4" s="4" t="n"/>
      <c r="G4" s="4">
        <f>ROUND(MAX(0,MIN(100,(1-E4/IF(D4&gt;0,D4,SUMIFS(Consolidation!$M:$M,Consolidation!$A:$A,"*"&amp;$B$10&amp;"*")/31))*100)),2)</f>
        <v/>
      </c>
      <c r="H4" s="4">
        <f>MIN(1,(G4-$B$3)/($B$4-$B$3))*$B$1</f>
        <v/>
      </c>
      <c r="I4" s="4" t="n"/>
      <c r="J4" s="4" t="n"/>
      <c r="K4" s="4">
        <f>SUMIFS(AB:AB,AD:AD,"*"&amp;$B$10&amp;"*",AC:AC,C4)</f>
        <v/>
      </c>
      <c r="L4" s="4">
        <f>ROUND(MAX(0,MIN(100,100*(1-K4/IF(D4&gt;0,D4,SUMIFS(Consolidation!$M:$M,Consolidation!$A:$A,"*"&amp;$B$10&amp;"*")/31)))),2)</f>
        <v/>
      </c>
      <c r="M4" s="4">
        <f>MAX(0,(L4-$B$6)/($B$7-$B$6)*$B$8)</f>
        <v/>
      </c>
      <c r="N4" s="4">
        <f>$B$2+H4+M4</f>
        <v/>
      </c>
      <c r="T4" s="4" t="n"/>
      <c r="U4" s="4" t="n"/>
      <c r="V4" s="4" t="n"/>
      <c r="X4" s="4" t="n">
        <v>10</v>
      </c>
      <c r="Y4" s="4" t="inlineStr">
        <is>
          <t>2026-10-02</t>
        </is>
      </c>
      <c r="Z4" s="4" t="inlineStr">
        <is>
          <t>com.logistics.rider.foodpanda</t>
        </is>
      </c>
      <c r="AB4" s="4" t="n">
        <v>31</v>
      </c>
      <c r="AC4" s="4" t="inlineStr">
        <is>
          <t>2026-10-01</t>
        </is>
      </c>
      <c r="AD4" s="4" t="inlineStr">
        <is>
          <t>com.logistics.rider.foodora</t>
        </is>
      </c>
    </row>
    <row r="5">
      <c r="A5" s="7" t="n"/>
      <c r="B5" s="7" t="n"/>
      <c r="C5" s="7" t="inlineStr">
        <is>
          <t>2026-10-04</t>
        </is>
      </c>
      <c r="D5" s="7">
        <f>SUMIFS(V:V,U:U,"*"&amp;$B$10&amp;"*",T:T,C5)</f>
        <v/>
      </c>
      <c r="E5" s="7">
        <f>SUMIFS(X:X,Z:Z,"*"&amp;$B$10&amp;"*",Y:Y,C5)</f>
        <v/>
      </c>
      <c r="F5" s="7" t="n"/>
      <c r="G5" s="7">
        <f>ROUND(MAX(0,MIN(100,(1-E5/IF(D5&gt;0,D5,SUMIFS(Consolidation!$M:$M,Consolidation!$A:$A,"*"&amp;$B$10&amp;"*")/31))*100)),2)</f>
        <v/>
      </c>
      <c r="H5" s="7">
        <f>MIN(1,(G5-$B$3)/($B$4-$B$3))*$B$1</f>
        <v/>
      </c>
      <c r="I5" s="7" t="n"/>
      <c r="J5" s="7" t="n"/>
      <c r="K5" s="7">
        <f>SUMIFS(AB:AB,AD:AD,"*"&amp;$B$10&amp;"*",AC:AC,C5)</f>
        <v/>
      </c>
      <c r="L5" s="7">
        <f>ROUND(MAX(0,MIN(100,100*(1-K5/IF(D5&gt;0,D5,SUMIFS(Consolidation!$M:$M,Consolidation!$A:$A,"*"&amp;$B$10&amp;"*")/31)))),2)</f>
        <v/>
      </c>
      <c r="M5" s="7">
        <f>MAX(0,(L5-$B$6)/($B$7-$B$6)*$B$8)</f>
        <v/>
      </c>
      <c r="N5" s="7">
        <f>$B$2+H5+M5</f>
        <v/>
      </c>
      <c r="T5" s="7" t="n"/>
      <c r="U5" s="7" t="n"/>
      <c r="V5" s="7" t="n"/>
      <c r="X5" s="7" t="n">
        <v>83</v>
      </c>
      <c r="Y5" s="7" t="inlineStr">
        <is>
          <t>2026-10-02</t>
        </is>
      </c>
      <c r="Z5" s="7" t="inlineStr">
        <is>
          <t>com.logistics.rider.foodpanda</t>
        </is>
      </c>
      <c r="AB5" s="7" t="n">
        <v>1</v>
      </c>
      <c r="AC5" s="7" t="inlineStr">
        <is>
          <t>2026-10-01</t>
        </is>
      </c>
      <c r="AD5" s="7" t="inlineStr">
        <is>
          <t>com.logistics.rider.foodora</t>
        </is>
      </c>
    </row>
    <row r="6">
      <c r="A6" s="19" t="inlineStr">
        <is>
          <t>Hang minimum</t>
        </is>
      </c>
      <c r="B6" s="20" t="n">
        <v>99.5</v>
      </c>
      <c r="C6" s="4" t="inlineStr">
        <is>
          <t>2026-10-05</t>
        </is>
      </c>
      <c r="D6" s="4">
        <f>SUMIFS(V:V,U:U,"*"&amp;$B$10&amp;"*",T:T,C6)</f>
        <v/>
      </c>
      <c r="E6" s="4">
        <f>SUMIFS(X:X,Z:Z,"*"&amp;$B$10&amp;"*",Y:Y,C6)</f>
        <v/>
      </c>
      <c r="F6" s="4" t="n"/>
      <c r="G6" s="4">
        <f>ROUND(MAX(0,MIN(100,(1-E6/IF(D6&gt;0,D6,SUMIFS(Consolidation!$M:$M,Consolidation!$A:$A,"*"&amp;$B$10&amp;"*")/31))*100)),2)</f>
        <v/>
      </c>
      <c r="H6" s="4">
        <f>MIN(1,(G6-$B$3)/($B$4-$B$3))*$B$1</f>
        <v/>
      </c>
      <c r="I6" s="4" t="n"/>
      <c r="J6" s="4" t="n"/>
      <c r="K6" s="4">
        <f>SUMIFS(AB:AB,AD:AD,"*"&amp;$B$10&amp;"*",AC:AC,C6)</f>
        <v/>
      </c>
      <c r="L6" s="4">
        <f>ROUND(MAX(0,MIN(100,100*(1-K6/IF(D6&gt;0,D6,SUMIFS(Consolidation!$M:$M,Consolidation!$A:$A,"*"&amp;$B$10&amp;"*")/31)))),2)</f>
        <v/>
      </c>
      <c r="M6" s="4">
        <f>MAX(0,(L6-$B$6)/($B$7-$B$6)*$B$8)</f>
        <v/>
      </c>
      <c r="N6" s="4">
        <f>$B$2+H6+M6</f>
        <v/>
      </c>
      <c r="T6" s="4" t="n"/>
      <c r="U6" s="4" t="n"/>
      <c r="V6" s="4" t="n"/>
      <c r="X6" s="4" t="n">
        <v>7</v>
      </c>
      <c r="Y6" s="4" t="inlineStr">
        <is>
          <t>2026-10-03</t>
        </is>
      </c>
      <c r="Z6" s="4" t="inlineStr">
        <is>
          <t>com.logistics.rider.foodpanda</t>
        </is>
      </c>
      <c r="AB6" s="4" t="n">
        <v>134</v>
      </c>
      <c r="AC6" s="4" t="inlineStr">
        <is>
          <t>2026-10-01</t>
        </is>
      </c>
      <c r="AD6" s="4" t="inlineStr">
        <is>
          <t>com.logistics.rider.talabat</t>
        </is>
      </c>
    </row>
    <row r="7">
      <c r="A7" s="19" t="inlineStr">
        <is>
          <t>Hang maximum</t>
        </is>
      </c>
      <c r="B7" s="20" t="n">
        <v>99.90000000000001</v>
      </c>
      <c r="C7" s="7" t="inlineStr">
        <is>
          <t>2026-10-06</t>
        </is>
      </c>
      <c r="D7" s="7">
        <f>SUMIFS(V:V,U:U,"*"&amp;$B$10&amp;"*",T:T,C7)</f>
        <v/>
      </c>
      <c r="E7" s="7">
        <f>SUMIFS(X:X,Z:Z,"*"&amp;$B$10&amp;"*",Y:Y,C7)</f>
        <v/>
      </c>
      <c r="F7" s="7" t="n"/>
      <c r="G7" s="7">
        <f>ROUND(MAX(0,MIN(100,(1-E7/IF(D7&gt;0,D7,SUMIFS(Consolidation!$M:$M,Consolidation!$A:$A,"*"&amp;$B$10&amp;"*")/31))*100)),2)</f>
        <v/>
      </c>
      <c r="H7" s="7">
        <f>MIN(1,(G7-$B$3)/($B$4-$B$3))*$B$1</f>
        <v/>
      </c>
      <c r="I7" s="7" t="n"/>
      <c r="J7" s="7" t="n"/>
      <c r="K7" s="7">
        <f>SUMIFS(AB:AB,AD:AD,"*"&amp;$B$10&amp;"*",AC:AC,C7)</f>
        <v/>
      </c>
      <c r="L7" s="7">
        <f>ROUND(MAX(0,MIN(100,100*(1-K7/IF(D7&gt;0,D7,SUMIFS(Consolidation!$M:$M,Consolidation!$A:$A,"*"&amp;$B$10&amp;"*")/31)))),2)</f>
        <v/>
      </c>
      <c r="M7" s="7">
        <f>MAX(0,(L7-$B$6)/($B$7-$B$6)*$B$8)</f>
        <v/>
      </c>
      <c r="N7" s="7">
        <f>$B$2+H7+M7</f>
        <v/>
      </c>
      <c r="T7" s="7" t="n"/>
      <c r="U7" s="7" t="n"/>
      <c r="V7" s="7" t="n"/>
      <c r="X7" s="7" t="n">
        <v>85</v>
      </c>
      <c r="Y7" s="7" t="inlineStr">
        <is>
          <t>2026-10-03</t>
        </is>
      </c>
      <c r="Z7" s="7" t="inlineStr">
        <is>
          <t>com.logistics.rider.foodpanda</t>
        </is>
      </c>
      <c r="AB7" s="7" t="n">
        <v>1</v>
      </c>
      <c r="AC7" s="7" t="inlineStr">
        <is>
          <t>2026-10-01</t>
        </is>
      </c>
      <c r="AD7" s="7" t="inlineStr">
        <is>
          <t>com.logistics.rider.talabat</t>
        </is>
      </c>
    </row>
    <row r="8">
      <c r="A8" s="19" t="inlineStr">
        <is>
          <t>Hang part in AQS</t>
        </is>
      </c>
      <c r="B8" s="20" t="n">
        <v>25</v>
      </c>
      <c r="C8" s="4" t="inlineStr">
        <is>
          <t>2026-10-07</t>
        </is>
      </c>
      <c r="D8" s="4">
        <f>SUMIFS(V:V,U:U,"*"&amp;$B$10&amp;"*",T:T,C8)</f>
        <v/>
      </c>
      <c r="E8" s="4">
        <f>SUMIFS(X:X,Z:Z,"*"&amp;$B$10&amp;"*",Y:Y,C8)</f>
        <v/>
      </c>
      <c r="F8" s="4" t="n"/>
      <c r="G8" s="4">
        <f>ROUND(MAX(0,MIN(100,(1-E8/IF(D8&gt;0,D8,SUMIFS(Consolidation!$M:$M,Consolidation!$A:$A,"*"&amp;$B$10&amp;"*")/31))*100)),2)</f>
        <v/>
      </c>
      <c r="H8" s="4">
        <f>MIN(1,(G8-$B$3)/($B$4-$B$3))*$B$1</f>
        <v/>
      </c>
      <c r="I8" s="4" t="n"/>
      <c r="J8" s="4" t="n"/>
      <c r="K8" s="4">
        <f>SUMIFS(AB:AB,AD:AD,"*"&amp;$B$10&amp;"*",AC:AC,C8)</f>
        <v/>
      </c>
      <c r="L8" s="4">
        <f>ROUND(MAX(0,MIN(100,100*(1-K8/IF(D8&gt;0,D8,SUMIFS(Consolidation!$M:$M,Consolidation!$A:$A,"*"&amp;$B$10&amp;"*")/31)))),2)</f>
        <v/>
      </c>
      <c r="M8" s="4">
        <f>MAX(0,(L8-$B$6)/($B$7-$B$6)*$B$8)</f>
        <v/>
      </c>
      <c r="N8" s="4">
        <f>$B$2+H8+M8</f>
        <v/>
      </c>
      <c r="T8" s="4" t="n"/>
      <c r="U8" s="4" t="n"/>
      <c r="V8" s="4" t="n"/>
      <c r="X8" s="4" t="n">
        <v>7</v>
      </c>
      <c r="Y8" s="4" t="inlineStr">
        <is>
          <t>2026-10-04</t>
        </is>
      </c>
      <c r="Z8" s="4" t="inlineStr">
        <is>
          <t>com.logistics.rider.foodpanda</t>
        </is>
      </c>
      <c r="AB8" s="4" t="n">
        <v>5</v>
      </c>
      <c r="AC8" s="4" t="inlineStr">
        <is>
          <t>2026-10-01</t>
        </is>
      </c>
      <c r="AD8" s="4" t="inlineStr">
        <is>
          <t>com.logistics.rider.talabat</t>
        </is>
      </c>
    </row>
    <row r="9">
      <c r="A9" s="7" t="n"/>
      <c r="B9" s="7" t="n"/>
      <c r="C9" s="7" t="inlineStr">
        <is>
          <t>2026-10-08</t>
        </is>
      </c>
      <c r="D9" s="7">
        <f>SUMIFS(V:V,U:U,"*"&amp;$B$10&amp;"*",T:T,C9)</f>
        <v/>
      </c>
      <c r="E9" s="7">
        <f>SUMIFS(X:X,Z:Z,"*"&amp;$B$10&amp;"*",Y:Y,C9)</f>
        <v/>
      </c>
      <c r="F9" s="7" t="n"/>
      <c r="G9" s="7">
        <f>ROUND(MAX(0,MIN(100,(1-E9/IF(D9&gt;0,D9,SUMIFS(Consolidation!$M:$M,Consolidation!$A:$A,"*"&amp;$B$10&amp;"*")/31))*100)),2)</f>
        <v/>
      </c>
      <c r="H9" s="7">
        <f>MIN(1,(G9-$B$3)/($B$4-$B$3))*$B$1</f>
        <v/>
      </c>
      <c r="I9" s="7" t="n"/>
      <c r="J9" s="7" t="n"/>
      <c r="K9" s="7">
        <f>SUMIFS(AB:AB,AD:AD,"*"&amp;$B$10&amp;"*",AC:AC,C9)</f>
        <v/>
      </c>
      <c r="L9" s="7">
        <f>ROUND(MAX(0,MIN(100,100*(1-K9/IF(D9&gt;0,D9,SUMIFS(Consolidation!$M:$M,Consolidation!$A:$A,"*"&amp;$B$10&amp;"*")/31)))),2)</f>
        <v/>
      </c>
      <c r="M9" s="7">
        <f>MAX(0,(L9-$B$6)/($B$7-$B$6)*$B$8)</f>
        <v/>
      </c>
      <c r="N9" s="7">
        <f>$B$2+H9+M9</f>
        <v/>
      </c>
      <c r="T9" s="7" t="n"/>
      <c r="U9" s="7" t="n"/>
      <c r="V9" s="7" t="n"/>
      <c r="X9" s="7" t="n">
        <v>93</v>
      </c>
      <c r="Y9" s="7" t="inlineStr">
        <is>
          <t>2026-10-04</t>
        </is>
      </c>
      <c r="Z9" s="7" t="inlineStr">
        <is>
          <t>com.logistics.rider.foodpanda</t>
        </is>
      </c>
      <c r="AB9" s="7" t="n">
        <v>73</v>
      </c>
      <c r="AC9" s="7" t="inlineStr">
        <is>
          <t>2026-10-01</t>
        </is>
      </c>
      <c r="AD9" s="7" t="inlineStr">
        <is>
          <t>com.logistics.rider.pedidosya</t>
        </is>
      </c>
    </row>
    <row r="10">
      <c r="A10" s="19" t="inlineStr">
        <is>
          <t>Brand</t>
        </is>
      </c>
      <c r="B10" s="20" t="inlineStr">
        <is>
          <t>woowa</t>
        </is>
      </c>
      <c r="C10" s="4" t="inlineStr">
        <is>
          <t>2026-10-09</t>
        </is>
      </c>
      <c r="D10" s="4">
        <f>SUMIFS(V:V,U:U,"*"&amp;$B$10&amp;"*",T:T,C10)</f>
        <v/>
      </c>
      <c r="E10" s="4">
        <f>SUMIFS(X:X,Z:Z,"*"&amp;$B$10&amp;"*",Y:Y,C10)</f>
        <v/>
      </c>
      <c r="F10" s="4" t="n"/>
      <c r="G10" s="4">
        <f>ROUND(MAX(0,MIN(100,(1-E10/IF(D10&gt;0,D10,SUMIFS(Consolidation!$M:$M,Consolidation!$A:$A,"*"&amp;$B$10&amp;"*")/31))*100)),2)</f>
        <v/>
      </c>
      <c r="H10" s="4">
        <f>MIN(1,(G10-$B$3)/($B$4-$B$3))*$B$1</f>
        <v/>
      </c>
      <c r="I10" s="4" t="n"/>
      <c r="J10" s="4" t="n"/>
      <c r="K10" s="4">
        <f>SUMIFS(AB:AB,AD:AD,"*"&amp;$B$10&amp;"*",AC:AC,C10)</f>
        <v/>
      </c>
      <c r="L10" s="4">
        <f>ROUND(MAX(0,MIN(100,100*(1-K10/IF(D10&gt;0,D10,SUMIFS(Consolidation!$M:$M,Consolidation!$A:$A,"*"&amp;$B$10&amp;"*")/31)))),2)</f>
        <v/>
      </c>
      <c r="M10" s="4">
        <f>MAX(0,(L10-$B$6)/($B$7-$B$6)*$B$8)</f>
        <v/>
      </c>
      <c r="N10" s="4">
        <f>$B$2+H10+M10</f>
        <v/>
      </c>
      <c r="T10" s="4" t="n"/>
      <c r="U10" s="4" t="n"/>
      <c r="V10" s="4" t="n"/>
      <c r="X10" s="4" t="n">
        <v>57</v>
      </c>
      <c r="Y10" s="4" t="inlineStr">
        <is>
          <t>2026-10-05</t>
        </is>
      </c>
      <c r="Z10" s="4" t="inlineStr">
        <is>
          <t>com.logistics.rider.foodpanda</t>
        </is>
      </c>
      <c r="AB10" s="4" t="n">
        <v>2</v>
      </c>
      <c r="AC10" s="4" t="inlineStr">
        <is>
          <t>2026-10-01</t>
        </is>
      </c>
      <c r="AD10" s="4" t="inlineStr">
        <is>
          <t>com.logistics.rider.pedidosya</t>
        </is>
      </c>
    </row>
    <row r="11">
      <c r="A11" s="7" t="n"/>
      <c r="B11" s="7" t="n"/>
      <c r="C11" s="7" t="inlineStr">
        <is>
          <t>2026-10-10</t>
        </is>
      </c>
      <c r="D11" s="7">
        <f>SUMIFS(V:V,U:U,"*"&amp;$B$10&amp;"*",T:T,C11)</f>
        <v/>
      </c>
      <c r="E11" s="7">
        <f>SUMIFS(X:X,Z:Z,"*"&amp;$B$10&amp;"*",Y:Y,C11)</f>
        <v/>
      </c>
      <c r="F11" s="7" t="n"/>
      <c r="G11" s="7">
        <f>ROUND(MAX(0,MIN(100,(1-E11/IF(D11&gt;0,D11,SUMIFS(Consolidation!$M:$M,Consolidation!$A:$A,"*"&amp;$B$10&amp;"*")/31))*100)),2)</f>
        <v/>
      </c>
      <c r="H11" s="7">
        <f>MIN(1,(G11-$B$3)/($B$4-$B$3))*$B$1</f>
        <v/>
      </c>
      <c r="I11" s="7" t="n"/>
      <c r="J11" s="7" t="n"/>
      <c r="K11" s="7">
        <f>SUMIFS(AB:AB,AD:AD,"*"&amp;$B$10&amp;"*",AC:AC,C11)</f>
        <v/>
      </c>
      <c r="L11" s="7">
        <f>ROUND(MAX(0,MIN(100,100*(1-K11/IF(D11&gt;0,D11,SUMIFS(Consolidation!$M:$M,Consolidation!$A:$A,"*"&amp;$B$10&amp;"*")/31)))),2)</f>
        <v/>
      </c>
      <c r="M11" s="7">
        <f>MAX(0,(L11-$B$6)/($B$7-$B$6)*$B$8)</f>
        <v/>
      </c>
      <c r="N11" s="7">
        <f>$B$2+H11+M11</f>
        <v/>
      </c>
      <c r="T11" s="7" t="n"/>
      <c r="U11" s="7" t="n"/>
      <c r="V11" s="7" t="n"/>
      <c r="X11" s="7" t="n">
        <v>6</v>
      </c>
      <c r="Y11" s="7" t="inlineStr">
        <is>
          <t>2026-10-05</t>
        </is>
      </c>
      <c r="Z11" s="7" t="inlineStr">
        <is>
          <t>com.logistics.rider.foodpanda</t>
        </is>
      </c>
      <c r="AB11" s="7" t="n">
        <v>52</v>
      </c>
      <c r="AC11" s="7" t="inlineStr">
        <is>
          <t>2026-10-01</t>
        </is>
      </c>
      <c r="AD11" s="7" t="inlineStr">
        <is>
          <t>com.logistics.rider.hungerstation</t>
        </is>
      </c>
    </row>
    <row r="12">
      <c r="A12" s="7" t="n"/>
      <c r="B12" s="7" t="n"/>
      <c r="C12" s="4" t="inlineStr">
        <is>
          <t>2026-10-11</t>
        </is>
      </c>
      <c r="D12" s="4">
        <f>SUMIFS(V:V,U:U,"*"&amp;$B$10&amp;"*",T:T,C12)</f>
        <v/>
      </c>
      <c r="E12" s="4">
        <f>SUMIFS(X:X,Z:Z,"*"&amp;$B$10&amp;"*",Y:Y,C12)</f>
        <v/>
      </c>
      <c r="F12" s="4" t="n"/>
      <c r="G12" s="4">
        <f>ROUND(MAX(0,MIN(100,(1-E12/IF(D12&gt;0,D12,SUMIFS(Consolidation!$M:$M,Consolidation!$A:$A,"*"&amp;$B$10&amp;"*")/31))*100)),2)</f>
        <v/>
      </c>
      <c r="H12" s="4">
        <f>MIN(1,(G12-$B$3)/($B$4-$B$3))*$B$1</f>
        <v/>
      </c>
      <c r="I12" s="4" t="n"/>
      <c r="J12" s="4" t="n"/>
      <c r="K12" s="4">
        <f>SUMIFS(AB:AB,AD:AD,"*"&amp;$B$10&amp;"*",AC:AC,C12)</f>
        <v/>
      </c>
      <c r="L12" s="4">
        <f>ROUND(MAX(0,MIN(100,100*(1-K12/IF(D12&gt;0,D12,SUMIFS(Consolidation!$M:$M,Consolidation!$A:$A,"*"&amp;$B$10&amp;"*")/31)))),2)</f>
        <v/>
      </c>
      <c r="M12" s="4">
        <f>MAX(0,(L12-$B$6)/($B$7-$B$6)*$B$8)</f>
        <v/>
      </c>
      <c r="N12" s="4">
        <f>$B$2+H12+M12</f>
        <v/>
      </c>
      <c r="T12" s="4" t="n"/>
      <c r="U12" s="4" t="n"/>
      <c r="V12" s="4" t="n"/>
      <c r="X12" s="4" t="n">
        <v>7</v>
      </c>
      <c r="Y12" s="4" t="inlineStr">
        <is>
          <t>2026-10-06</t>
        </is>
      </c>
      <c r="Z12" s="4" t="inlineStr">
        <is>
          <t>com.logistics.rider.foodpanda</t>
        </is>
      </c>
      <c r="AB12" s="4" t="n">
        <v>7</v>
      </c>
      <c r="AC12" s="4" t="inlineStr">
        <is>
          <t>2026-10-01</t>
        </is>
      </c>
      <c r="AD12" s="4" t="inlineStr">
        <is>
          <t>com.logistics.rider.hungerstation</t>
        </is>
      </c>
    </row>
    <row r="13">
      <c r="A13" s="7" t="n"/>
      <c r="B13" s="7" t="n"/>
      <c r="C13" s="7" t="inlineStr">
        <is>
          <t>2026-10-12</t>
        </is>
      </c>
      <c r="D13" s="7">
        <f>SUMIFS(V:V,U:U,"*"&amp;$B$10&amp;"*",T:T,C13)</f>
        <v/>
      </c>
      <c r="E13" s="7">
        <f>SUMIFS(X:X,Z:Z,"*"&amp;$B$10&amp;"*",Y:Y,C13)</f>
        <v/>
      </c>
      <c r="F13" s="7" t="n"/>
      <c r="G13" s="7">
        <f>ROUND(MAX(0,MIN(100,(1-E13/IF(D13&gt;0,D13,SUMIFS(Consolidation!$M:$M,Consolidation!$A:$A,"*"&amp;$B$10&amp;"*")/31))*100)),2)</f>
        <v/>
      </c>
      <c r="H13" s="7">
        <f>MIN(1,(G13-$B$3)/($B$4-$B$3))*$B$1</f>
        <v/>
      </c>
      <c r="I13" s="7" t="n"/>
      <c r="J13" s="7" t="n"/>
      <c r="K13" s="7">
        <f>SUMIFS(AB:AB,AD:AD,"*"&amp;$B$10&amp;"*",AC:AC,C13)</f>
        <v/>
      </c>
      <c r="L13" s="7">
        <f>ROUND(MAX(0,MIN(100,100*(1-K13/IF(D13&gt;0,D13,SUMIFS(Consolidation!$M:$M,Consolidation!$A:$A,"*"&amp;$B$10&amp;"*")/31)))),2)</f>
        <v/>
      </c>
      <c r="M13" s="7">
        <f>MAX(0,(L13-$B$6)/($B$7-$B$6)*$B$8)</f>
        <v/>
      </c>
      <c r="N13" s="7">
        <f>$B$2+H13+M13</f>
        <v/>
      </c>
      <c r="T13" s="7" t="n"/>
      <c r="U13" s="7" t="n"/>
      <c r="V13" s="7" t="n"/>
      <c r="X13" s="7" t="n">
        <v>68</v>
      </c>
      <c r="Y13" s="7" t="inlineStr">
        <is>
          <t>2026-10-06</t>
        </is>
      </c>
      <c r="Z13" s="7" t="inlineStr">
        <is>
          <t>com.logistics.rider.foodpanda</t>
        </is>
      </c>
      <c r="AB13" s="7" t="n">
        <v>151</v>
      </c>
      <c r="AC13" s="7" t="inlineStr">
        <is>
          <t>2026-10-01</t>
        </is>
      </c>
      <c r="AD13" s="7" t="inlineStr">
        <is>
          <t>com.logistics.rider.glovo</t>
        </is>
      </c>
    </row>
    <row r="14">
      <c r="A14" s="7" t="n"/>
      <c r="B14" s="7" t="n"/>
      <c r="C14" s="4" t="inlineStr">
        <is>
          <t>2026-10-13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T14" s="4" t="n"/>
      <c r="U14" s="4" t="n"/>
      <c r="V14" s="4" t="n"/>
      <c r="X14" s="4" t="n">
        <v>84</v>
      </c>
      <c r="Y14" s="4" t="inlineStr">
        <is>
          <t>2026-10-07</t>
        </is>
      </c>
      <c r="Z14" s="4" t="inlineStr">
        <is>
          <t>com.logistics.rider.foodpanda</t>
        </is>
      </c>
      <c r="AB14" s="4" t="n">
        <v>1</v>
      </c>
      <c r="AC14" s="4" t="inlineStr">
        <is>
          <t>2026-10-01</t>
        </is>
      </c>
      <c r="AD14" s="4" t="inlineStr">
        <is>
          <t>com.logistics.rider.glovo</t>
        </is>
      </c>
    </row>
    <row r="15">
      <c r="A15" s="7" t="n"/>
      <c r="B15" s="7" t="n"/>
      <c r="C15" s="7" t="inlineStr">
        <is>
          <t>2026-10-14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T15" s="7" t="n"/>
      <c r="U15" s="7" t="n"/>
      <c r="V15" s="7" t="n"/>
      <c r="X15" s="7" t="n">
        <v>17</v>
      </c>
      <c r="Y15" s="7" t="inlineStr">
        <is>
          <t>2026-10-07</t>
        </is>
      </c>
      <c r="Z15" s="7" t="inlineStr">
        <is>
          <t>com.logistics.rider.foodpanda</t>
        </is>
      </c>
      <c r="AB15" s="7" t="n">
        <v>8</v>
      </c>
      <c r="AC15" s="7" t="inlineStr">
        <is>
          <t>2026-10-01</t>
        </is>
      </c>
      <c r="AD15" s="7" t="inlineStr">
        <is>
          <t>com.logistics.rider.glovo</t>
        </is>
      </c>
    </row>
    <row r="16">
      <c r="A16" s="7" t="n"/>
      <c r="B16" s="7" t="n"/>
      <c r="C16" s="4" t="inlineStr">
        <is>
          <t>2026-10-15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T16" s="4" t="n"/>
      <c r="U16" s="4" t="n"/>
      <c r="V16" s="4" t="n"/>
      <c r="X16" s="4" t="n">
        <v>83</v>
      </c>
      <c r="Y16" s="4" t="inlineStr">
        <is>
          <t>2026-10-08</t>
        </is>
      </c>
      <c r="Z16" s="4" t="inlineStr">
        <is>
          <t>com.logistics.rider.foodpanda</t>
        </is>
      </c>
      <c r="AB16" s="4" t="n">
        <v>1</v>
      </c>
      <c r="AC16" s="4" t="inlineStr">
        <is>
          <t>2026-10-01</t>
        </is>
      </c>
      <c r="AD16" s="4" t="inlineStr">
        <is>
          <t>com.logistics.rider.efood</t>
        </is>
      </c>
    </row>
    <row r="17">
      <c r="A17" s="7" t="n"/>
      <c r="B17" s="7" t="n"/>
      <c r="C17" s="7" t="inlineStr">
        <is>
          <t>2026-10-16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T17" s="7" t="n"/>
      <c r="U17" s="7" t="n"/>
      <c r="V17" s="7" t="n"/>
      <c r="X17" s="7" t="n">
        <v>4</v>
      </c>
      <c r="Y17" s="7" t="inlineStr">
        <is>
          <t>2026-10-08</t>
        </is>
      </c>
      <c r="Z17" s="7" t="inlineStr">
        <is>
          <t>com.logistics.rider.foodpanda</t>
        </is>
      </c>
      <c r="AB17" s="7" t="n">
        <v>19</v>
      </c>
      <c r="AC17" s="7" t="inlineStr">
        <is>
          <t>2026-10-01</t>
        </is>
      </c>
      <c r="AD17" s="7" t="inlineStr">
        <is>
          <t>com.logistics.rider.efood</t>
        </is>
      </c>
    </row>
    <row r="18">
      <c r="A18" s="7" t="n"/>
      <c r="B18" s="7" t="n"/>
      <c r="C18" s="4" t="inlineStr">
        <is>
          <t>2026-10-17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T18" s="4" t="n"/>
      <c r="U18" s="4" t="n"/>
      <c r="V18" s="4" t="n"/>
      <c r="X18" s="4" t="n">
        <v>96</v>
      </c>
      <c r="Y18" s="4" t="inlineStr">
        <is>
          <t>2026-10-09</t>
        </is>
      </c>
      <c r="Z18" s="4" t="inlineStr">
        <is>
          <t>com.logistics.rider.foodpanda</t>
        </is>
      </c>
      <c r="AB18" s="4" t="n">
        <v>2</v>
      </c>
      <c r="AC18" s="4" t="inlineStr">
        <is>
          <t>2026-10-01</t>
        </is>
      </c>
      <c r="AD18" s="4" t="inlineStr">
        <is>
          <t>com.logistics.rider.foody</t>
        </is>
      </c>
    </row>
    <row r="19">
      <c r="A19" s="7" t="n"/>
      <c r="B19" s="7" t="n"/>
      <c r="C19" s="7" t="inlineStr">
        <is>
          <t>2026-10-18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T19" s="7" t="n"/>
      <c r="U19" s="7" t="n"/>
      <c r="V19" s="7" t="n"/>
      <c r="X19" s="7" t="n">
        <v>9</v>
      </c>
      <c r="Y19" s="7" t="inlineStr">
        <is>
          <t>2026-10-09</t>
        </is>
      </c>
      <c r="Z19" s="7" t="inlineStr">
        <is>
          <t>com.logistics.rider.foodpanda</t>
        </is>
      </c>
      <c r="AB19" s="7" t="n">
        <v>288</v>
      </c>
      <c r="AC19" s="7" t="inlineStr">
        <is>
          <t>2026-10-02</t>
        </is>
      </c>
      <c r="AD19" s="7" t="inlineStr">
        <is>
          <t>com.logistics.rider.foodpanda</t>
        </is>
      </c>
    </row>
    <row r="20">
      <c r="A20" s="7" t="n"/>
      <c r="B20" s="7" t="n"/>
      <c r="C20" s="4" t="inlineStr">
        <is>
          <t>2026-10-19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T20" s="4" t="n"/>
      <c r="U20" s="4" t="n"/>
      <c r="V20" s="4" t="n"/>
      <c r="X20" s="4" t="n">
        <v>76</v>
      </c>
      <c r="Y20" s="4" t="inlineStr">
        <is>
          <t>2026-10-10</t>
        </is>
      </c>
      <c r="Z20" s="4" t="inlineStr">
        <is>
          <t>com.logistics.rider.foodpanda</t>
        </is>
      </c>
      <c r="AB20" s="4" t="n">
        <v>32</v>
      </c>
      <c r="AC20" s="4" t="inlineStr">
        <is>
          <t>2026-10-02</t>
        </is>
      </c>
      <c r="AD20" s="4" t="inlineStr">
        <is>
          <t>com.logistics.rider.foodpanda</t>
        </is>
      </c>
    </row>
    <row r="21">
      <c r="A21" s="7" t="n"/>
      <c r="B21" s="7" t="n"/>
      <c r="C21" s="7" t="inlineStr">
        <is>
          <t>2026-10-20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T21" s="7" t="n"/>
      <c r="U21" s="7" t="n"/>
      <c r="V21" s="7" t="n"/>
      <c r="X21" s="7" t="n">
        <v>7</v>
      </c>
      <c r="Y21" s="7" t="inlineStr">
        <is>
          <t>2026-10-10</t>
        </is>
      </c>
      <c r="Z21" s="7" t="inlineStr">
        <is>
          <t>com.logistics.rider.foodpanda</t>
        </is>
      </c>
      <c r="AB21" s="7" t="n">
        <v>32</v>
      </c>
      <c r="AC21" s="7" t="inlineStr">
        <is>
          <t>2026-10-02</t>
        </is>
      </c>
      <c r="AD21" s="7" t="inlineStr">
        <is>
          <t>com.logistics.rider.foodora</t>
        </is>
      </c>
    </row>
    <row r="22">
      <c r="A22" s="7" t="n"/>
      <c r="B22" s="7" t="n"/>
      <c r="C22" s="4" t="inlineStr">
        <is>
          <t>2026-10-21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T22" s="4" t="n"/>
      <c r="U22" s="4" t="n"/>
      <c r="V22" s="4" t="n"/>
      <c r="X22" s="4" t="n">
        <v>73</v>
      </c>
      <c r="Y22" s="4" t="inlineStr">
        <is>
          <t>2026-10-11</t>
        </is>
      </c>
      <c r="Z22" s="4" t="inlineStr">
        <is>
          <t>com.logistics.rider.foodpanda</t>
        </is>
      </c>
      <c r="AB22" s="4" t="n">
        <v>1</v>
      </c>
      <c r="AC22" s="4" t="inlineStr">
        <is>
          <t>2026-10-02</t>
        </is>
      </c>
      <c r="AD22" s="4" t="inlineStr">
        <is>
          <t>com.logistics.rider.foodora</t>
        </is>
      </c>
    </row>
    <row r="23">
      <c r="A23" s="7" t="n"/>
      <c r="B23" s="7" t="n"/>
      <c r="C23" s="7" t="inlineStr">
        <is>
          <t>2026-10-22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T23" s="7" t="n"/>
      <c r="U23" s="7" t="n"/>
      <c r="V23" s="7" t="n"/>
      <c r="X23" s="7" t="n">
        <v>4</v>
      </c>
      <c r="Y23" s="7" t="inlineStr">
        <is>
          <t>2026-10-11</t>
        </is>
      </c>
      <c r="Z23" s="7" t="inlineStr">
        <is>
          <t>com.logistics.rider.foodpanda</t>
        </is>
      </c>
      <c r="AB23" s="7" t="n">
        <v>113</v>
      </c>
      <c r="AC23" s="7" t="inlineStr">
        <is>
          <t>2026-10-02</t>
        </is>
      </c>
      <c r="AD23" s="7" t="inlineStr">
        <is>
          <t>com.logistics.rider.talabat</t>
        </is>
      </c>
    </row>
    <row r="24">
      <c r="A24" s="7" t="n"/>
      <c r="B24" s="7" t="n"/>
      <c r="C24" s="4" t="inlineStr">
        <is>
          <t>2026-10-23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T24" s="4" t="n"/>
      <c r="U24" s="4" t="n"/>
      <c r="V24" s="4" t="n"/>
      <c r="X24" s="4" t="n">
        <v>67</v>
      </c>
      <c r="Y24" s="4" t="inlineStr">
        <is>
          <t>2026-10-12</t>
        </is>
      </c>
      <c r="Z24" s="4" t="inlineStr">
        <is>
          <t>com.logistics.rider.foodpanda</t>
        </is>
      </c>
      <c r="AB24" s="4" t="n">
        <v>8</v>
      </c>
      <c r="AC24" s="4" t="inlineStr">
        <is>
          <t>2026-10-02</t>
        </is>
      </c>
      <c r="AD24" s="4" t="inlineStr">
        <is>
          <t>com.logistics.rider.talabat</t>
        </is>
      </c>
    </row>
    <row r="25">
      <c r="A25" s="7" t="n"/>
      <c r="B25" s="7" t="n"/>
      <c r="C25" s="7" t="inlineStr">
        <is>
          <t>2026-10-24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T25" s="7" t="n"/>
      <c r="U25" s="7" t="n"/>
      <c r="V25" s="7" t="n"/>
      <c r="X25" s="7" t="n">
        <v>11</v>
      </c>
      <c r="Y25" s="7" t="inlineStr">
        <is>
          <t>2026-10-12</t>
        </is>
      </c>
      <c r="Z25" s="7" t="inlineStr">
        <is>
          <t>com.logistics.rider.foodpanda</t>
        </is>
      </c>
      <c r="AB25" s="7" t="n">
        <v>3</v>
      </c>
      <c r="AC25" s="7" t="inlineStr">
        <is>
          <t>2026-10-02</t>
        </is>
      </c>
      <c r="AD25" s="7" t="inlineStr">
        <is>
          <t>com.logistics.rider.pedidosya</t>
        </is>
      </c>
    </row>
    <row r="26">
      <c r="A26" s="7" t="n"/>
      <c r="B26" s="7" t="n"/>
      <c r="C26" s="4" t="inlineStr">
        <is>
          <t>2026-10-25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T26" s="4" t="n"/>
      <c r="U26" s="4" t="n"/>
      <c r="V26" s="4" t="n"/>
      <c r="X26" s="4" t="n">
        <v>12</v>
      </c>
      <c r="Y26" s="4" t="inlineStr">
        <is>
          <t>2026-10-01</t>
        </is>
      </c>
      <c r="Z26" s="4" t="inlineStr">
        <is>
          <t>com.logistics.rider.foodora</t>
        </is>
      </c>
      <c r="AB26" s="4" t="n">
        <v>75</v>
      </c>
      <c r="AC26" s="4" t="inlineStr">
        <is>
          <t>2026-10-02</t>
        </is>
      </c>
      <c r="AD26" s="4" t="inlineStr">
        <is>
          <t>com.logistics.rider.pedidosya</t>
        </is>
      </c>
    </row>
    <row r="27">
      <c r="A27" s="7" t="n"/>
      <c r="B27" s="7" t="n"/>
      <c r="C27" s="7" t="inlineStr">
        <is>
          <t>2026-10-26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T27" s="7" t="n"/>
      <c r="U27" s="7" t="n"/>
      <c r="V27" s="7" t="n"/>
      <c r="X27" s="7" t="n">
        <v>12</v>
      </c>
      <c r="Y27" s="7" t="inlineStr">
        <is>
          <t>2026-10-02</t>
        </is>
      </c>
      <c r="Z27" s="7" t="inlineStr">
        <is>
          <t>com.logistics.rider.foodora</t>
        </is>
      </c>
      <c r="AB27" s="7" t="n">
        <v>52</v>
      </c>
      <c r="AC27" s="7" t="inlineStr">
        <is>
          <t>2026-10-02</t>
        </is>
      </c>
      <c r="AD27" s="7" t="inlineStr">
        <is>
          <t>com.logistics.rider.hungerstation</t>
        </is>
      </c>
    </row>
    <row r="28">
      <c r="A28" s="7" t="n"/>
      <c r="B28" s="7" t="n"/>
      <c r="C28" s="4" t="inlineStr">
        <is>
          <t>2026-10-27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T28" s="4" t="n"/>
      <c r="U28" s="4" t="n"/>
      <c r="V28" s="4" t="n"/>
      <c r="X28" s="4" t="n">
        <v>1</v>
      </c>
      <c r="Y28" s="4" t="inlineStr">
        <is>
          <t>2026-10-02</t>
        </is>
      </c>
      <c r="Z28" s="4" t="inlineStr">
        <is>
          <t>com.logistics.rider.foodora</t>
        </is>
      </c>
      <c r="AB28" s="4" t="n">
        <v>7</v>
      </c>
      <c r="AC28" s="4" t="inlineStr">
        <is>
          <t>2026-10-02</t>
        </is>
      </c>
      <c r="AD28" s="4" t="inlineStr">
        <is>
          <t>com.logistics.rider.hungerstation</t>
        </is>
      </c>
    </row>
    <row r="29">
      <c r="A29" s="7" t="n"/>
      <c r="B29" s="7" t="n"/>
      <c r="C29" s="7" t="inlineStr">
        <is>
          <t>2026-10-28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T29" s="7" t="n"/>
      <c r="U29" s="7" t="n"/>
      <c r="V29" s="7" t="n"/>
      <c r="X29" s="7" t="n">
        <v>12</v>
      </c>
      <c r="Y29" s="7" t="inlineStr">
        <is>
          <t>2026-10-03</t>
        </is>
      </c>
      <c r="Z29" s="7" t="inlineStr">
        <is>
          <t>com.logistics.rider.foodora</t>
        </is>
      </c>
      <c r="AB29" s="7" t="n">
        <v>155</v>
      </c>
      <c r="AC29" s="7" t="inlineStr">
        <is>
          <t>2026-10-02</t>
        </is>
      </c>
      <c r="AD29" s="7" t="inlineStr">
        <is>
          <t>com.logistics.rider.glovo</t>
        </is>
      </c>
    </row>
    <row r="30">
      <c r="A30" s="7" t="n"/>
      <c r="B30" s="7" t="n"/>
      <c r="C30" s="4" t="inlineStr">
        <is>
          <t>2026-10-29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T30" s="4" t="n"/>
      <c r="U30" s="4" t="n"/>
      <c r="V30" s="4" t="n"/>
      <c r="X30" s="4" t="n">
        <v>7</v>
      </c>
      <c r="Y30" s="4" t="inlineStr">
        <is>
          <t>2026-10-04</t>
        </is>
      </c>
      <c r="Z30" s="4" t="inlineStr">
        <is>
          <t>com.logistics.rider.foodora</t>
        </is>
      </c>
      <c r="AB30" s="4" t="n">
        <v>12</v>
      </c>
      <c r="AC30" s="4" t="inlineStr">
        <is>
          <t>2026-10-02</t>
        </is>
      </c>
      <c r="AD30" s="4" t="inlineStr">
        <is>
          <t>com.logistics.rider.glovo</t>
        </is>
      </c>
    </row>
    <row r="31">
      <c r="A31" s="7" t="n"/>
      <c r="B31" s="7" t="n"/>
      <c r="C31" s="7" t="inlineStr">
        <is>
          <t>2026-10-30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T31" s="7" t="n"/>
      <c r="U31" s="7" t="n"/>
      <c r="V31" s="7" t="n"/>
      <c r="X31" s="7" t="n">
        <v>8</v>
      </c>
      <c r="Y31" s="7" t="inlineStr">
        <is>
          <t>2026-10-05</t>
        </is>
      </c>
      <c r="Z31" s="7" t="inlineStr">
        <is>
          <t>com.logistics.rider.foodora</t>
        </is>
      </c>
      <c r="AB31" s="7" t="n">
        <v>1</v>
      </c>
      <c r="AC31" s="7" t="inlineStr">
        <is>
          <t>2026-10-02</t>
        </is>
      </c>
      <c r="AD31" s="7" t="inlineStr">
        <is>
          <t>com.logistics.rider.woowabros</t>
        </is>
      </c>
    </row>
    <row r="32">
      <c r="A32" s="7" t="n"/>
      <c r="B32" s="7" t="n"/>
      <c r="C32" s="4" t="inlineStr">
        <is>
          <t>2026-10-31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T32" s="4" t="n"/>
      <c r="U32" s="4" t="n"/>
      <c r="V32" s="4" t="n"/>
      <c r="X32" s="4" t="n">
        <v>7</v>
      </c>
      <c r="Y32" s="4" t="inlineStr">
        <is>
          <t>2026-10-06</t>
        </is>
      </c>
      <c r="Z32" s="4" t="inlineStr">
        <is>
          <t>com.logistics.rider.foodora</t>
        </is>
      </c>
      <c r="AB32" s="4" t="n">
        <v>1</v>
      </c>
      <c r="AC32" s="4" t="inlineStr">
        <is>
          <t>2026-10-02</t>
        </is>
      </c>
      <c r="AD32" s="4" t="inlineStr">
        <is>
          <t>com.logistics.rider.efood</t>
        </is>
      </c>
    </row>
    <row r="33">
      <c r="D33" s="24" t="n"/>
      <c r="E33" s="24" t="n"/>
      <c r="F33" s="24" t="n"/>
      <c r="G33" s="25" t="inlineStr">
        <is>
          <t>AVG CFU</t>
        </is>
      </c>
      <c r="H33" s="24" t="n"/>
      <c r="I33" s="25" t="inlineStr">
        <is>
          <t>October AQS score</t>
        </is>
      </c>
      <c r="J33" s="24" t="n"/>
      <c r="K33" s="24" t="n"/>
      <c r="L33" s="25" t="inlineStr">
        <is>
          <t>AVG Hang-free</t>
        </is>
      </c>
      <c r="M33" s="24" t="n"/>
      <c r="N33" s="25" t="inlineStr">
        <is>
          <t>Projected AQS including hangs</t>
        </is>
      </c>
      <c r="T33" s="7" t="n"/>
      <c r="U33" s="7" t="n"/>
      <c r="V33" s="7" t="n"/>
      <c r="X33" s="7" t="n">
        <v>9</v>
      </c>
      <c r="Y33" s="7" t="inlineStr">
        <is>
          <t>2026-10-07</t>
        </is>
      </c>
      <c r="Z33" s="7" t="inlineStr">
        <is>
          <t>com.logistics.rider.foodora</t>
        </is>
      </c>
      <c r="AB33" s="7" t="n">
        <v>16</v>
      </c>
      <c r="AC33" s="7" t="inlineStr">
        <is>
          <t>2026-10-02</t>
        </is>
      </c>
      <c r="AD33" s="7" t="inlineStr">
        <is>
          <t>com.logistics.rider.efood</t>
        </is>
      </c>
    </row>
    <row r="34">
      <c r="D34" s="26">
        <f>AVERAGE(D2:D13)</f>
        <v/>
      </c>
      <c r="E34" s="27" t="n"/>
      <c r="F34" s="27" t="n"/>
      <c r="G34" s="28">
        <f>TRUNC(MAX(0,MIN(100,(1-SUMIFS(X:X,Z:Z,"*"&amp;$B$10&amp;"*")/IF(SUMIFS(V:V,U:U,"*"&amp;$B$10&amp;"*")&gt;0,SUMIFS(V:V,U:U,"*"&amp;$B$10&amp;"*"),SUMIFS(Consolidation!$M:$M,Consolidation!$A:$A,"*"&amp;$B$10&amp;"*")*31))*100)),2)</f>
        <v/>
      </c>
      <c r="H34" s="29">
        <f>AVERAGE(H2:H13)</f>
        <v/>
      </c>
      <c r="I34" s="29">
        <f>$B$2+H34</f>
        <v/>
      </c>
      <c r="J34" s="27" t="n"/>
      <c r="K34" s="27" t="n"/>
      <c r="L34" s="28">
        <f>TRUNC(MAX(0,MIN(100,(1-SUMIFS(AB:AB,AD:AD,"*"&amp;$B$10&amp;"*")/IF(SUMIFS(V:V,U:U,"*"&amp;$B$10&amp;"*")&gt;0,SUMIFS(V:V,U:U,"*"&amp;$B$10&amp;"*"),SUMIFS(Consolidation!$M:$M,Consolidation!$A:$A,"*"&amp;$B$10&amp;"*")*31))*100)),2)</f>
        <v/>
      </c>
      <c r="M34" s="29">
        <f>MAX(0,(L34-$B$6)/($B$7-$B$6)*$B$8)</f>
        <v/>
      </c>
      <c r="N34" s="29">
        <f>$B$2+MAX(0,(G34-$B$3)/($B$4-$B$3)*($B$1-$B$8))+M34</f>
        <v/>
      </c>
      <c r="T34" s="4" t="n"/>
      <c r="U34" s="4" t="n"/>
      <c r="V34" s="4" t="n"/>
      <c r="X34" s="4" t="n">
        <v>10</v>
      </c>
      <c r="Y34" s="4" t="inlineStr">
        <is>
          <t>2026-10-08</t>
        </is>
      </c>
      <c r="Z34" s="4" t="inlineStr">
        <is>
          <t>com.logistics.rider.foodora</t>
        </is>
      </c>
      <c r="AB34" s="4" t="n">
        <v>1</v>
      </c>
      <c r="AC34" s="4" t="inlineStr">
        <is>
          <t>2026-10-02</t>
        </is>
      </c>
      <c r="AD34" s="4" t="inlineStr">
        <is>
          <t>com.logistics.rider.foody</t>
        </is>
      </c>
    </row>
    <row r="35">
      <c r="T35" s="7" t="n"/>
      <c r="U35" s="7" t="n"/>
      <c r="V35" s="7" t="n"/>
      <c r="X35" s="7" t="n">
        <v>7</v>
      </c>
      <c r="Y35" s="7" t="inlineStr">
        <is>
          <t>2026-10-09</t>
        </is>
      </c>
      <c r="Z35" s="7" t="inlineStr">
        <is>
          <t>com.logistics.rider.foodora</t>
        </is>
      </c>
      <c r="AB35" s="7" t="n">
        <v>4</v>
      </c>
      <c r="AC35" s="7" t="inlineStr">
        <is>
          <t>2026-10-02</t>
        </is>
      </c>
      <c r="AD35" s="7" t="inlineStr">
        <is>
          <t>com.logistics.rider.foody</t>
        </is>
      </c>
    </row>
    <row r="36">
      <c r="T36" s="4" t="n"/>
      <c r="U36" s="4" t="n"/>
      <c r="V36" s="4" t="n"/>
      <c r="X36" s="4" t="n">
        <v>10</v>
      </c>
      <c r="Y36" s="4" t="inlineStr">
        <is>
          <t>2026-10-10</t>
        </is>
      </c>
      <c r="Z36" s="4" t="inlineStr">
        <is>
          <t>com.logistics.rider.foodora</t>
        </is>
      </c>
      <c r="AB36" s="4" t="n">
        <v>34</v>
      </c>
      <c r="AC36" s="4" t="inlineStr">
        <is>
          <t>2026-10-03</t>
        </is>
      </c>
      <c r="AD36" s="4" t="inlineStr">
        <is>
          <t>com.logistics.rider.foodpanda</t>
        </is>
      </c>
    </row>
    <row r="37">
      <c r="T37" s="7" t="n"/>
      <c r="U37" s="7" t="n"/>
      <c r="V37" s="7" t="n"/>
      <c r="X37" s="7" t="n">
        <v>1</v>
      </c>
      <c r="Y37" s="7" t="inlineStr">
        <is>
          <t>2026-10-11</t>
        </is>
      </c>
      <c r="Z37" s="7" t="inlineStr">
        <is>
          <t>com.logistics.rider.foodora</t>
        </is>
      </c>
      <c r="AB37" s="7" t="n">
        <v>281</v>
      </c>
      <c r="AC37" s="7" t="inlineStr">
        <is>
          <t>2026-10-03</t>
        </is>
      </c>
      <c r="AD37" s="7" t="inlineStr">
        <is>
          <t>com.logistics.rider.foodpanda</t>
        </is>
      </c>
    </row>
    <row r="38">
      <c r="T38" s="4" t="n"/>
      <c r="U38" s="4" t="n"/>
      <c r="V38" s="4" t="n"/>
      <c r="X38" s="4" t="n">
        <v>10</v>
      </c>
      <c r="Y38" s="4" t="inlineStr">
        <is>
          <t>2026-10-11</t>
        </is>
      </c>
      <c r="Z38" s="4" t="inlineStr">
        <is>
          <t>com.logistics.rider.foodora</t>
        </is>
      </c>
      <c r="AB38" s="4" t="n">
        <v>2</v>
      </c>
      <c r="AC38" s="4" t="inlineStr">
        <is>
          <t>2026-10-03</t>
        </is>
      </c>
      <c r="AD38" s="4" t="inlineStr">
        <is>
          <t>com.logistics.rider.foodora</t>
        </is>
      </c>
    </row>
    <row r="39">
      <c r="T39" s="7" t="n"/>
      <c r="U39" s="7" t="n"/>
      <c r="V39" s="7" t="n"/>
      <c r="X39" s="7" t="n">
        <v>8</v>
      </c>
      <c r="Y39" s="7" t="inlineStr">
        <is>
          <t>2026-10-12</t>
        </is>
      </c>
      <c r="Z39" s="7" t="inlineStr">
        <is>
          <t>com.logistics.rider.foodora</t>
        </is>
      </c>
      <c r="AB39" s="7" t="n">
        <v>23</v>
      </c>
      <c r="AC39" s="7" t="inlineStr">
        <is>
          <t>2026-10-03</t>
        </is>
      </c>
      <c r="AD39" s="7" t="inlineStr">
        <is>
          <t>com.logistics.rider.foodora</t>
        </is>
      </c>
    </row>
    <row r="40">
      <c r="T40" s="4" t="n"/>
      <c r="U40" s="4" t="n"/>
      <c r="V40" s="4" t="n"/>
      <c r="X40" s="4" t="n">
        <v>2</v>
      </c>
      <c r="Y40" s="4" t="inlineStr">
        <is>
          <t>2026-10-01</t>
        </is>
      </c>
      <c r="Z40" s="4" t="inlineStr">
        <is>
          <t>com.logistics.rider.talabat</t>
        </is>
      </c>
      <c r="AB40" s="4" t="n">
        <v>9</v>
      </c>
      <c r="AC40" s="4" t="inlineStr">
        <is>
          <t>2026-10-03</t>
        </is>
      </c>
      <c r="AD40" s="4" t="inlineStr">
        <is>
          <t>com.logistics.rider.talabat</t>
        </is>
      </c>
    </row>
    <row r="41">
      <c r="T41" s="7" t="n"/>
      <c r="U41" s="7" t="n"/>
      <c r="V41" s="7" t="n"/>
      <c r="X41" s="7" t="n">
        <v>1</v>
      </c>
      <c r="Y41" s="7" t="inlineStr">
        <is>
          <t>2026-10-01</t>
        </is>
      </c>
      <c r="Z41" s="7" t="inlineStr">
        <is>
          <t>com.logistics.rider.talabat</t>
        </is>
      </c>
      <c r="AB41" s="7" t="n">
        <v>122</v>
      </c>
      <c r="AC41" s="7" t="inlineStr">
        <is>
          <t>2026-10-03</t>
        </is>
      </c>
      <c r="AD41" s="7" t="inlineStr">
        <is>
          <t>com.logistics.rider.talabat</t>
        </is>
      </c>
    </row>
    <row r="42">
      <c r="T42" s="4" t="n"/>
      <c r="U42" s="4" t="n"/>
      <c r="V42" s="4" t="n"/>
      <c r="X42" s="4" t="n">
        <v>38</v>
      </c>
      <c r="Y42" s="4" t="inlineStr">
        <is>
          <t>2026-10-01</t>
        </is>
      </c>
      <c r="Z42" s="4" t="inlineStr">
        <is>
          <t>com.logistics.rider.talabat</t>
        </is>
      </c>
      <c r="AB42" s="4" t="n">
        <v>3</v>
      </c>
      <c r="AC42" s="4" t="inlineStr">
        <is>
          <t>2026-10-03</t>
        </is>
      </c>
      <c r="AD42" s="4" t="inlineStr">
        <is>
          <t>com.logistics.rider.pedidosya</t>
        </is>
      </c>
    </row>
    <row r="43">
      <c r="T43" s="7" t="n"/>
      <c r="U43" s="7" t="n"/>
      <c r="V43" s="7" t="n"/>
      <c r="X43" s="7" t="n">
        <v>2</v>
      </c>
      <c r="Y43" s="7" t="inlineStr">
        <is>
          <t>2026-10-02</t>
        </is>
      </c>
      <c r="Z43" s="7" t="inlineStr">
        <is>
          <t>com.logistics.rider.talabat</t>
        </is>
      </c>
      <c r="AB43" s="7" t="n">
        <v>67</v>
      </c>
      <c r="AC43" s="7" t="inlineStr">
        <is>
          <t>2026-10-03</t>
        </is>
      </c>
      <c r="AD43" s="7" t="inlineStr">
        <is>
          <t>com.logistics.rider.pedidosya</t>
        </is>
      </c>
    </row>
    <row r="44">
      <c r="T44" s="4" t="n"/>
      <c r="U44" s="4" t="n"/>
      <c r="V44" s="4" t="n"/>
      <c r="X44" s="4" t="n">
        <v>1</v>
      </c>
      <c r="Y44" s="4" t="inlineStr">
        <is>
          <t>2026-10-02</t>
        </is>
      </c>
      <c r="Z44" s="4" t="inlineStr">
        <is>
          <t>com.logistics.rider.talabat</t>
        </is>
      </c>
      <c r="AB44" s="4" t="n">
        <v>3</v>
      </c>
      <c r="AC44" s="4" t="inlineStr">
        <is>
          <t>2026-10-03</t>
        </is>
      </c>
      <c r="AD44" s="4" t="inlineStr">
        <is>
          <t>com.logistics.rider.hungerstation</t>
        </is>
      </c>
    </row>
    <row r="45">
      <c r="T45" s="7" t="n"/>
      <c r="U45" s="7" t="n"/>
      <c r="V45" s="7" t="n"/>
      <c r="X45" s="7" t="n">
        <v>36</v>
      </c>
      <c r="Y45" s="7" t="inlineStr">
        <is>
          <t>2026-10-02</t>
        </is>
      </c>
      <c r="Z45" s="7" t="inlineStr">
        <is>
          <t>com.logistics.rider.talabat</t>
        </is>
      </c>
      <c r="AB45" s="7" t="n">
        <v>50</v>
      </c>
      <c r="AC45" s="7" t="inlineStr">
        <is>
          <t>2026-10-03</t>
        </is>
      </c>
      <c r="AD45" s="7" t="inlineStr">
        <is>
          <t>com.logistics.rider.hungerstation</t>
        </is>
      </c>
    </row>
    <row r="46">
      <c r="T46" s="4" t="n"/>
      <c r="U46" s="4" t="n"/>
      <c r="V46" s="4" t="n"/>
      <c r="X46" s="4" t="n">
        <v>36</v>
      </c>
      <c r="Y46" s="4" t="inlineStr">
        <is>
          <t>2026-10-03</t>
        </is>
      </c>
      <c r="Z46" s="4" t="inlineStr">
        <is>
          <t>com.logistics.rider.talabat</t>
        </is>
      </c>
      <c r="AB46" s="4" t="n">
        <v>10</v>
      </c>
      <c r="AC46" s="4" t="inlineStr">
        <is>
          <t>2026-10-03</t>
        </is>
      </c>
      <c r="AD46" s="4" t="inlineStr">
        <is>
          <t>com.logistics.rider.glovo</t>
        </is>
      </c>
    </row>
    <row r="47">
      <c r="T47" s="7" t="n"/>
      <c r="U47" s="7" t="n"/>
      <c r="V47" s="7" t="n"/>
      <c r="X47" s="7" t="n">
        <v>2</v>
      </c>
      <c r="Y47" s="7" t="inlineStr">
        <is>
          <t>2026-10-04</t>
        </is>
      </c>
      <c r="Z47" s="7" t="inlineStr">
        <is>
          <t>com.logistics.rider.talabat</t>
        </is>
      </c>
      <c r="AB47" s="7" t="n">
        <v>162</v>
      </c>
      <c r="AC47" s="7" t="inlineStr">
        <is>
          <t>2026-10-03</t>
        </is>
      </c>
      <c r="AD47" s="7" t="inlineStr">
        <is>
          <t>com.logistics.rider.glovo</t>
        </is>
      </c>
    </row>
    <row r="48">
      <c r="T48" s="4" t="n"/>
      <c r="U48" s="4" t="n"/>
      <c r="V48" s="4" t="n"/>
      <c r="X48" s="4" t="n">
        <v>30</v>
      </c>
      <c r="Y48" s="4" t="inlineStr">
        <is>
          <t>2026-10-04</t>
        </is>
      </c>
      <c r="Z48" s="4" t="inlineStr">
        <is>
          <t>com.logistics.rider.talabat</t>
        </is>
      </c>
      <c r="AB48" s="4" t="n">
        <v>1</v>
      </c>
      <c r="AC48" s="4" t="inlineStr">
        <is>
          <t>2026-10-03</t>
        </is>
      </c>
      <c r="AD48" s="4" t="inlineStr">
        <is>
          <t>com.logistics.rider.woowabros</t>
        </is>
      </c>
    </row>
    <row r="49">
      <c r="T49" s="7" t="n"/>
      <c r="U49" s="7" t="n"/>
      <c r="V49" s="7" t="n"/>
      <c r="X49" s="7" t="n">
        <v>2</v>
      </c>
      <c r="Y49" s="7" t="inlineStr">
        <is>
          <t>2026-10-05</t>
        </is>
      </c>
      <c r="Z49" s="7" t="inlineStr">
        <is>
          <t>com.logistics.rider.talabat</t>
        </is>
      </c>
      <c r="AB49" s="7" t="n">
        <v>12</v>
      </c>
      <c r="AC49" s="7" t="inlineStr">
        <is>
          <t>2026-10-03</t>
        </is>
      </c>
      <c r="AD49" s="7" t="inlineStr">
        <is>
          <t>com.logistics.rider.efood</t>
        </is>
      </c>
    </row>
    <row r="50">
      <c r="T50" s="4" t="n"/>
      <c r="U50" s="4" t="n"/>
      <c r="V50" s="4" t="n"/>
      <c r="X50" s="4" t="n">
        <v>1</v>
      </c>
      <c r="Y50" s="4" t="inlineStr">
        <is>
          <t>2026-10-05</t>
        </is>
      </c>
      <c r="Z50" s="4" t="inlineStr">
        <is>
          <t>com.logistics.rider.talabat</t>
        </is>
      </c>
      <c r="AB50" s="4" t="n">
        <v>3</v>
      </c>
      <c r="AC50" s="4" t="inlineStr">
        <is>
          <t>2026-10-03</t>
        </is>
      </c>
      <c r="AD50" s="4" t="inlineStr">
        <is>
          <t>com.logistics.rider.foody</t>
        </is>
      </c>
    </row>
    <row r="51">
      <c r="T51" s="7" t="n"/>
      <c r="U51" s="7" t="n"/>
      <c r="V51" s="7" t="n"/>
      <c r="X51" s="7" t="n">
        <v>34</v>
      </c>
      <c r="Y51" s="7" t="inlineStr">
        <is>
          <t>2026-10-05</t>
        </is>
      </c>
      <c r="Z51" s="7" t="inlineStr">
        <is>
          <t>com.logistics.rider.talabat</t>
        </is>
      </c>
      <c r="AB51" s="7" t="n">
        <v>24</v>
      </c>
      <c r="AC51" s="7" t="inlineStr">
        <is>
          <t>2026-10-04</t>
        </is>
      </c>
      <c r="AD51" s="7" t="inlineStr">
        <is>
          <t>com.logistics.rider.foodpanda</t>
        </is>
      </c>
    </row>
    <row r="52">
      <c r="T52" s="4" t="n"/>
      <c r="U52" s="4" t="n"/>
      <c r="V52" s="4" t="n"/>
      <c r="X52" s="4" t="n">
        <v>1</v>
      </c>
      <c r="Y52" s="4" t="inlineStr">
        <is>
          <t>2026-10-06</t>
        </is>
      </c>
      <c r="Z52" s="4" t="inlineStr">
        <is>
          <t>com.logistics.rider.talabat</t>
        </is>
      </c>
      <c r="AB52" s="4" t="n">
        <v>249</v>
      </c>
      <c r="AC52" s="4" t="inlineStr">
        <is>
          <t>2026-10-04</t>
        </is>
      </c>
      <c r="AD52" s="4" t="inlineStr">
        <is>
          <t>com.logistics.rider.foodpanda</t>
        </is>
      </c>
    </row>
    <row r="53">
      <c r="T53" s="7" t="n"/>
      <c r="U53" s="7" t="n"/>
      <c r="V53" s="7" t="n"/>
      <c r="X53" s="7" t="n">
        <v>41</v>
      </c>
      <c r="Y53" s="7" t="inlineStr">
        <is>
          <t>2026-10-06</t>
        </is>
      </c>
      <c r="Z53" s="7" t="inlineStr">
        <is>
          <t>com.logistics.rider.talabat</t>
        </is>
      </c>
      <c r="AB53" s="7" t="n">
        <v>19</v>
      </c>
      <c r="AC53" s="7" t="inlineStr">
        <is>
          <t>2026-10-04</t>
        </is>
      </c>
      <c r="AD53" s="7" t="inlineStr">
        <is>
          <t>com.logistics.rider.foodora</t>
        </is>
      </c>
    </row>
    <row r="54">
      <c r="T54" s="4" t="n"/>
      <c r="U54" s="4" t="n"/>
      <c r="V54" s="4" t="n"/>
      <c r="X54" s="4" t="n">
        <v>39</v>
      </c>
      <c r="Y54" s="4" t="inlineStr">
        <is>
          <t>2026-10-07</t>
        </is>
      </c>
      <c r="Z54" s="4" t="inlineStr">
        <is>
          <t>com.logistics.rider.talabat</t>
        </is>
      </c>
      <c r="AB54" s="4" t="n">
        <v>2</v>
      </c>
      <c r="AC54" s="4" t="inlineStr">
        <is>
          <t>2026-10-04</t>
        </is>
      </c>
      <c r="AD54" s="4" t="inlineStr">
        <is>
          <t>com.logistics.rider.foodora</t>
        </is>
      </c>
    </row>
    <row r="55">
      <c r="T55" s="7" t="n"/>
      <c r="U55" s="7" t="n"/>
      <c r="V55" s="7" t="n"/>
      <c r="X55" s="7" t="n">
        <v>1</v>
      </c>
      <c r="Y55" s="7" t="inlineStr">
        <is>
          <t>2026-10-07</t>
        </is>
      </c>
      <c r="Z55" s="7" t="inlineStr">
        <is>
          <t>com.logistics.rider.talabat</t>
        </is>
      </c>
      <c r="AB55" s="7" t="n">
        <v>9</v>
      </c>
      <c r="AC55" s="7" t="inlineStr">
        <is>
          <t>2026-10-04</t>
        </is>
      </c>
      <c r="AD55" s="7" t="inlineStr">
        <is>
          <t>com.logistics.rider.talabat</t>
        </is>
      </c>
    </row>
    <row r="56">
      <c r="T56" s="4" t="n"/>
      <c r="U56" s="4" t="n"/>
      <c r="V56" s="4" t="n"/>
      <c r="X56" s="4" t="n">
        <v>35</v>
      </c>
      <c r="Y56" s="4" t="inlineStr">
        <is>
          <t>2026-10-08</t>
        </is>
      </c>
      <c r="Z56" s="4" t="inlineStr">
        <is>
          <t>com.logistics.rider.talabat</t>
        </is>
      </c>
      <c r="AB56" s="4" t="n">
        <v>140</v>
      </c>
      <c r="AC56" s="4" t="inlineStr">
        <is>
          <t>2026-10-04</t>
        </is>
      </c>
      <c r="AD56" s="4" t="inlineStr">
        <is>
          <t>com.logistics.rider.talabat</t>
        </is>
      </c>
    </row>
    <row r="57">
      <c r="T57" s="7" t="n"/>
      <c r="U57" s="7" t="n"/>
      <c r="V57" s="7" t="n"/>
      <c r="X57" s="7" t="n">
        <v>1</v>
      </c>
      <c r="Y57" s="7" t="inlineStr">
        <is>
          <t>2026-10-08</t>
        </is>
      </c>
      <c r="Z57" s="7" t="inlineStr">
        <is>
          <t>com.logistics.rider.talabat</t>
        </is>
      </c>
      <c r="AB57" s="7" t="n">
        <v>2</v>
      </c>
      <c r="AC57" s="7" t="inlineStr">
        <is>
          <t>2026-10-04</t>
        </is>
      </c>
      <c r="AD57" s="7" t="inlineStr">
        <is>
          <t>com.logistics.rider.pedidosya</t>
        </is>
      </c>
    </row>
    <row r="58">
      <c r="T58" s="4" t="n"/>
      <c r="U58" s="4" t="n"/>
      <c r="V58" s="4" t="n"/>
      <c r="X58" s="4" t="n">
        <v>40</v>
      </c>
      <c r="Y58" s="4" t="inlineStr">
        <is>
          <t>2026-10-09</t>
        </is>
      </c>
      <c r="Z58" s="4" t="inlineStr">
        <is>
          <t>com.logistics.rider.talabat</t>
        </is>
      </c>
      <c r="AB58" s="4" t="n">
        <v>66</v>
      </c>
      <c r="AC58" s="4" t="inlineStr">
        <is>
          <t>2026-10-04</t>
        </is>
      </c>
      <c r="AD58" s="4" t="inlineStr">
        <is>
          <t>com.logistics.rider.pedidosya</t>
        </is>
      </c>
    </row>
    <row r="59">
      <c r="T59" s="7" t="n"/>
      <c r="U59" s="7" t="n"/>
      <c r="V59" s="7" t="n"/>
      <c r="X59" s="7" t="n">
        <v>25</v>
      </c>
      <c r="Y59" s="7" t="inlineStr">
        <is>
          <t>2026-10-10</t>
        </is>
      </c>
      <c r="Z59" s="7" t="inlineStr">
        <is>
          <t>com.logistics.rider.talabat</t>
        </is>
      </c>
      <c r="AB59" s="7" t="n">
        <v>4</v>
      </c>
      <c r="AC59" s="7" t="inlineStr">
        <is>
          <t>2026-10-04</t>
        </is>
      </c>
      <c r="AD59" s="7" t="inlineStr">
        <is>
          <t>com.logistics.rider.hungerstation</t>
        </is>
      </c>
    </row>
    <row r="60">
      <c r="T60" s="4" t="n"/>
      <c r="U60" s="4" t="n"/>
      <c r="V60" s="4" t="n"/>
      <c r="X60" s="4" t="n">
        <v>2</v>
      </c>
      <c r="Y60" s="4" t="inlineStr">
        <is>
          <t>2026-10-10</t>
        </is>
      </c>
      <c r="Z60" s="4" t="inlineStr">
        <is>
          <t>com.logistics.rider.talabat</t>
        </is>
      </c>
      <c r="AB60" s="4" t="n">
        <v>40</v>
      </c>
      <c r="AC60" s="4" t="inlineStr">
        <is>
          <t>2026-10-04</t>
        </is>
      </c>
      <c r="AD60" s="4" t="inlineStr">
        <is>
          <t>com.logistics.rider.hungerstation</t>
        </is>
      </c>
    </row>
    <row r="61">
      <c r="T61" s="7" t="n"/>
      <c r="U61" s="7" t="n"/>
      <c r="V61" s="7" t="n"/>
      <c r="X61" s="7" t="n">
        <v>29</v>
      </c>
      <c r="Y61" s="7" t="inlineStr">
        <is>
          <t>2026-10-11</t>
        </is>
      </c>
      <c r="Z61" s="7" t="inlineStr">
        <is>
          <t>com.logistics.rider.talabat</t>
        </is>
      </c>
      <c r="AB61" s="7" t="n">
        <v>12</v>
      </c>
      <c r="AC61" s="7" t="inlineStr">
        <is>
          <t>2026-10-04</t>
        </is>
      </c>
      <c r="AD61" s="7" t="inlineStr">
        <is>
          <t>com.logistics.rider.glovo</t>
        </is>
      </c>
    </row>
    <row r="62">
      <c r="T62" s="4" t="n"/>
      <c r="U62" s="4" t="n"/>
      <c r="V62" s="4" t="n"/>
      <c r="X62" s="4" t="n">
        <v>1</v>
      </c>
      <c r="Y62" s="4" t="inlineStr">
        <is>
          <t>2026-10-12</t>
        </is>
      </c>
      <c r="Z62" s="4" t="inlineStr">
        <is>
          <t>com.logistics.rider.talabat</t>
        </is>
      </c>
      <c r="AB62" s="4" t="n">
        <v>161</v>
      </c>
      <c r="AC62" s="4" t="inlineStr">
        <is>
          <t>2026-10-04</t>
        </is>
      </c>
      <c r="AD62" s="4" t="inlineStr">
        <is>
          <t>com.logistics.rider.glovo</t>
        </is>
      </c>
    </row>
    <row r="63">
      <c r="T63" s="7" t="n"/>
      <c r="U63" s="7" t="n"/>
      <c r="V63" s="7" t="n"/>
      <c r="X63" s="7" t="n">
        <v>36</v>
      </c>
      <c r="Y63" s="7" t="inlineStr">
        <is>
          <t>2026-10-12</t>
        </is>
      </c>
      <c r="Z63" s="7" t="inlineStr">
        <is>
          <t>com.logistics.rider.talabat</t>
        </is>
      </c>
      <c r="AB63" s="7" t="n">
        <v>2</v>
      </c>
      <c r="AC63" s="7" t="inlineStr">
        <is>
          <t>2026-10-04</t>
        </is>
      </c>
      <c r="AD63" s="7" t="inlineStr">
        <is>
          <t>com.logistics.rider.woowabros</t>
        </is>
      </c>
    </row>
    <row r="64">
      <c r="T64" s="4" t="n"/>
      <c r="U64" s="4" t="n"/>
      <c r="V64" s="4" t="n"/>
      <c r="X64" s="4" t="n">
        <v>12</v>
      </c>
      <c r="Y64" s="4" t="inlineStr">
        <is>
          <t>2026-10-01</t>
        </is>
      </c>
      <c r="Z64" s="4" t="inlineStr">
        <is>
          <t>com.logistics.rider.pedidosya</t>
        </is>
      </c>
      <c r="AB64" s="4" t="n">
        <v>15</v>
      </c>
      <c r="AC64" s="4" t="inlineStr">
        <is>
          <t>2026-10-04</t>
        </is>
      </c>
      <c r="AD64" s="4" t="inlineStr">
        <is>
          <t>com.logistics.rider.efood</t>
        </is>
      </c>
    </row>
    <row r="65">
      <c r="T65" s="7" t="n"/>
      <c r="U65" s="7" t="n"/>
      <c r="V65" s="7" t="n"/>
      <c r="X65" s="7" t="n">
        <v>23</v>
      </c>
      <c r="Y65" s="7" t="inlineStr">
        <is>
          <t>2026-10-02</t>
        </is>
      </c>
      <c r="Z65" s="7" t="inlineStr">
        <is>
          <t>com.logistics.rider.pedidosya</t>
        </is>
      </c>
      <c r="AB65" s="7" t="n">
        <v>2</v>
      </c>
      <c r="AC65" s="7" t="inlineStr">
        <is>
          <t>2026-10-04</t>
        </is>
      </c>
      <c r="AD65" s="7" t="inlineStr">
        <is>
          <t>com.logistics.rider.foody</t>
        </is>
      </c>
    </row>
    <row r="66">
      <c r="T66" s="4" t="n"/>
      <c r="U66" s="4" t="n"/>
      <c r="V66" s="4" t="n"/>
      <c r="X66" s="4" t="n">
        <v>1</v>
      </c>
      <c r="Y66" s="4" t="inlineStr">
        <is>
          <t>2026-10-03</t>
        </is>
      </c>
      <c r="Z66" s="4" t="inlineStr">
        <is>
          <t>com.logistics.rider.pedidosya</t>
        </is>
      </c>
      <c r="AB66" s="4" t="n">
        <v>260</v>
      </c>
      <c r="AC66" s="4" t="inlineStr">
        <is>
          <t>2026-10-05</t>
        </is>
      </c>
      <c r="AD66" s="4" t="inlineStr">
        <is>
          <t>com.logistics.rider.foodpanda</t>
        </is>
      </c>
    </row>
    <row r="67">
      <c r="T67" s="7" t="n"/>
      <c r="U67" s="7" t="n"/>
      <c r="V67" s="7" t="n"/>
      <c r="X67" s="7" t="n">
        <v>26</v>
      </c>
      <c r="Y67" s="7" t="inlineStr">
        <is>
          <t>2026-10-03</t>
        </is>
      </c>
      <c r="Z67" s="7" t="inlineStr">
        <is>
          <t>com.logistics.rider.pedidosya</t>
        </is>
      </c>
      <c r="AB67" s="7" t="n">
        <v>27</v>
      </c>
      <c r="AC67" s="7" t="inlineStr">
        <is>
          <t>2026-10-05</t>
        </is>
      </c>
      <c r="AD67" s="7" t="inlineStr">
        <is>
          <t>com.logistics.rider.foodpanda</t>
        </is>
      </c>
    </row>
    <row r="68">
      <c r="T68" s="4" t="n"/>
      <c r="U68" s="4" t="n"/>
      <c r="V68" s="4" t="n"/>
      <c r="X68" s="4" t="n">
        <v>14</v>
      </c>
      <c r="Y68" s="4" t="inlineStr">
        <is>
          <t>2026-10-04</t>
        </is>
      </c>
      <c r="Z68" s="4" t="inlineStr">
        <is>
          <t>com.logistics.rider.pedidosya</t>
        </is>
      </c>
      <c r="AB68" s="4" t="n">
        <v>23</v>
      </c>
      <c r="AC68" s="4" t="inlineStr">
        <is>
          <t>2026-10-05</t>
        </is>
      </c>
      <c r="AD68" s="4" t="inlineStr">
        <is>
          <t>com.logistics.rider.foodora</t>
        </is>
      </c>
    </row>
    <row r="69">
      <c r="T69" s="7" t="n"/>
      <c r="U69" s="7" t="n"/>
      <c r="V69" s="7" t="n"/>
      <c r="X69" s="7" t="n">
        <v>1</v>
      </c>
      <c r="Y69" s="7" t="inlineStr">
        <is>
          <t>2026-10-04</t>
        </is>
      </c>
      <c r="Z69" s="7" t="inlineStr">
        <is>
          <t>com.logistics.rider.pedidosya</t>
        </is>
      </c>
      <c r="AB69" s="7" t="n">
        <v>3</v>
      </c>
      <c r="AC69" s="7" t="inlineStr">
        <is>
          <t>2026-10-05</t>
        </is>
      </c>
      <c r="AD69" s="7" t="inlineStr">
        <is>
          <t>com.logistics.rider.foodora</t>
        </is>
      </c>
    </row>
    <row r="70">
      <c r="T70" s="4" t="n"/>
      <c r="U70" s="4" t="n"/>
      <c r="V70" s="4" t="n"/>
      <c r="X70" s="4" t="n">
        <v>17</v>
      </c>
      <c r="Y70" s="4" t="inlineStr">
        <is>
          <t>2026-10-05</t>
        </is>
      </c>
      <c r="Z70" s="4" t="inlineStr">
        <is>
          <t>com.logistics.rider.pedidosya</t>
        </is>
      </c>
      <c r="AB70" s="4" t="n">
        <v>6</v>
      </c>
      <c r="AC70" s="4" t="inlineStr">
        <is>
          <t>2026-10-05</t>
        </is>
      </c>
      <c r="AD70" s="4" t="inlineStr">
        <is>
          <t>com.logistics.rider.talabat</t>
        </is>
      </c>
    </row>
    <row r="71">
      <c r="T71" s="7" t="n"/>
      <c r="U71" s="7" t="n"/>
      <c r="V71" s="7" t="n"/>
      <c r="X71" s="7" t="n">
        <v>18</v>
      </c>
      <c r="Y71" s="7" t="inlineStr">
        <is>
          <t>2026-10-06</t>
        </is>
      </c>
      <c r="Z71" s="7" t="inlineStr">
        <is>
          <t>com.logistics.rider.pedidosya</t>
        </is>
      </c>
      <c r="AB71" s="7" t="n">
        <v>109</v>
      </c>
      <c r="AC71" s="7" t="inlineStr">
        <is>
          <t>2026-10-05</t>
        </is>
      </c>
      <c r="AD71" s="7" t="inlineStr">
        <is>
          <t>com.logistics.rider.talabat</t>
        </is>
      </c>
    </row>
    <row r="72">
      <c r="T72" s="4" t="n"/>
      <c r="U72" s="4" t="n"/>
      <c r="V72" s="4" t="n"/>
      <c r="X72" s="4" t="n">
        <v>18</v>
      </c>
      <c r="Y72" s="4" t="inlineStr">
        <is>
          <t>2026-10-07</t>
        </is>
      </c>
      <c r="Z72" s="4" t="inlineStr">
        <is>
          <t>com.logistics.rider.pedidosya</t>
        </is>
      </c>
      <c r="AB72" s="4" t="n">
        <v>55</v>
      </c>
      <c r="AC72" s="4" t="inlineStr">
        <is>
          <t>2026-10-05</t>
        </is>
      </c>
      <c r="AD72" s="4" t="inlineStr">
        <is>
          <t>com.logistics.rider.pedidosya</t>
        </is>
      </c>
    </row>
    <row r="73">
      <c r="T73" s="7" t="n"/>
      <c r="U73" s="7" t="n"/>
      <c r="V73" s="7" t="n"/>
      <c r="X73" s="7" t="n">
        <v>17</v>
      </c>
      <c r="Y73" s="7" t="inlineStr">
        <is>
          <t>2026-10-08</t>
        </is>
      </c>
      <c r="Z73" s="7" t="inlineStr">
        <is>
          <t>com.logistics.rider.pedidosya</t>
        </is>
      </c>
      <c r="AB73" s="7" t="n">
        <v>3</v>
      </c>
      <c r="AC73" s="7" t="inlineStr">
        <is>
          <t>2026-10-05</t>
        </is>
      </c>
      <c r="AD73" s="7" t="inlineStr">
        <is>
          <t>com.logistics.rider.pedidosya</t>
        </is>
      </c>
    </row>
    <row r="74">
      <c r="T74" s="4" t="n"/>
      <c r="U74" s="4" t="n"/>
      <c r="V74" s="4" t="n"/>
      <c r="X74" s="4" t="n">
        <v>20</v>
      </c>
      <c r="Y74" s="4" t="inlineStr">
        <is>
          <t>2026-10-09</t>
        </is>
      </c>
      <c r="Z74" s="4" t="inlineStr">
        <is>
          <t>com.logistics.rider.pedidosya</t>
        </is>
      </c>
      <c r="AB74" s="4" t="n">
        <v>10</v>
      </c>
      <c r="AC74" s="4" t="inlineStr">
        <is>
          <t>2026-10-05</t>
        </is>
      </c>
      <c r="AD74" s="4" t="inlineStr">
        <is>
          <t>com.logistics.rider.hungerstation</t>
        </is>
      </c>
    </row>
    <row r="75">
      <c r="T75" s="7" t="n"/>
      <c r="U75" s="7" t="n"/>
      <c r="V75" s="7" t="n"/>
      <c r="X75" s="7" t="n">
        <v>22</v>
      </c>
      <c r="Y75" s="7" t="inlineStr">
        <is>
          <t>2026-10-10</t>
        </is>
      </c>
      <c r="Z75" s="7" t="inlineStr">
        <is>
          <t>com.logistics.rider.pedidosya</t>
        </is>
      </c>
      <c r="AB75" s="7" t="n">
        <v>47</v>
      </c>
      <c r="AC75" s="7" t="inlineStr">
        <is>
          <t>2026-10-05</t>
        </is>
      </c>
      <c r="AD75" s="7" t="inlineStr">
        <is>
          <t>com.logistics.rider.hungerstation</t>
        </is>
      </c>
    </row>
    <row r="76">
      <c r="T76" s="4" t="n"/>
      <c r="U76" s="4" t="n"/>
      <c r="V76" s="4" t="n"/>
      <c r="X76" s="4" t="n">
        <v>1</v>
      </c>
      <c r="Y76" s="4" t="inlineStr">
        <is>
          <t>2026-10-11</t>
        </is>
      </c>
      <c r="Z76" s="4" t="inlineStr">
        <is>
          <t>com.logistics.rider.pedidosya</t>
        </is>
      </c>
      <c r="AB76" s="4" t="n">
        <v>142</v>
      </c>
      <c r="AC76" s="4" t="inlineStr">
        <is>
          <t>2026-10-05</t>
        </is>
      </c>
      <c r="AD76" s="4" t="inlineStr">
        <is>
          <t>com.logistics.rider.glovo</t>
        </is>
      </c>
    </row>
    <row r="77">
      <c r="T77" s="7" t="n"/>
      <c r="U77" s="7" t="n"/>
      <c r="V77" s="7" t="n"/>
      <c r="X77" s="7" t="n">
        <v>18</v>
      </c>
      <c r="Y77" s="7" t="inlineStr">
        <is>
          <t>2026-10-11</t>
        </is>
      </c>
      <c r="Z77" s="7" t="inlineStr">
        <is>
          <t>com.logistics.rider.pedidosya</t>
        </is>
      </c>
      <c r="AB77" s="7" t="n">
        <v>11</v>
      </c>
      <c r="AC77" s="7" t="inlineStr">
        <is>
          <t>2026-10-05</t>
        </is>
      </c>
      <c r="AD77" s="7" t="inlineStr">
        <is>
          <t>com.logistics.rider.glovo</t>
        </is>
      </c>
    </row>
    <row r="78">
      <c r="T78" s="4" t="n"/>
      <c r="U78" s="4" t="n"/>
      <c r="V78" s="4" t="n"/>
      <c r="X78" s="4" t="n">
        <v>22</v>
      </c>
      <c r="Y78" s="4" t="inlineStr">
        <is>
          <t>2026-10-12</t>
        </is>
      </c>
      <c r="Z78" s="4" t="inlineStr">
        <is>
          <t>com.logistics.rider.pedidosya</t>
        </is>
      </c>
      <c r="AB78" s="4" t="n">
        <v>1</v>
      </c>
      <c r="AC78" s="4" t="inlineStr">
        <is>
          <t>2026-10-05</t>
        </is>
      </c>
      <c r="AD78" s="4" t="inlineStr">
        <is>
          <t>com.logistics.rider.woowabros</t>
        </is>
      </c>
    </row>
    <row r="79">
      <c r="T79" s="7" t="n"/>
      <c r="U79" s="7" t="n"/>
      <c r="V79" s="7" t="n"/>
      <c r="X79" s="7" t="n">
        <v>6</v>
      </c>
      <c r="Y79" s="7" t="inlineStr">
        <is>
          <t>2026-10-01</t>
        </is>
      </c>
      <c r="Z79" s="7" t="inlineStr">
        <is>
          <t>com.logistics.rider.hungerstation</t>
        </is>
      </c>
      <c r="AB79" s="7" t="n">
        <v>11</v>
      </c>
      <c r="AC79" s="7" t="inlineStr">
        <is>
          <t>2026-10-05</t>
        </is>
      </c>
      <c r="AD79" s="7" t="inlineStr">
        <is>
          <t>com.logistics.rider.efood</t>
        </is>
      </c>
    </row>
    <row r="80">
      <c r="T80" s="4" t="n"/>
      <c r="U80" s="4" t="n"/>
      <c r="V80" s="4" t="n"/>
      <c r="X80" s="4" t="n">
        <v>17</v>
      </c>
      <c r="Y80" s="4" t="inlineStr">
        <is>
          <t>2026-10-01</t>
        </is>
      </c>
      <c r="Z80" s="4" t="inlineStr">
        <is>
          <t>com.logistics.rider.hungerstation</t>
        </is>
      </c>
      <c r="AB80" s="4" t="n">
        <v>2</v>
      </c>
      <c r="AC80" s="4" t="inlineStr">
        <is>
          <t>2026-10-05</t>
        </is>
      </c>
      <c r="AD80" s="4" t="inlineStr">
        <is>
          <t>com.logistics.rider.foody</t>
        </is>
      </c>
    </row>
    <row r="81">
      <c r="T81" s="7" t="n"/>
      <c r="U81" s="7" t="n"/>
      <c r="V81" s="7" t="n"/>
      <c r="X81" s="7" t="n">
        <v>1</v>
      </c>
      <c r="Y81" s="7" t="inlineStr">
        <is>
          <t>2026-10-01</t>
        </is>
      </c>
      <c r="Z81" s="7" t="inlineStr">
        <is>
          <t>com.logistics.rider.hungerstation</t>
        </is>
      </c>
      <c r="AB81" s="7" t="n">
        <v>23</v>
      </c>
      <c r="AC81" s="7" t="inlineStr">
        <is>
          <t>2026-10-06</t>
        </is>
      </c>
      <c r="AD81" s="7" t="inlineStr">
        <is>
          <t>com.logistics.rider.foodpanda</t>
        </is>
      </c>
    </row>
    <row r="82">
      <c r="T82" s="4" t="n"/>
      <c r="U82" s="4" t="n"/>
      <c r="V82" s="4" t="n"/>
      <c r="X82" s="4" t="n">
        <v>2</v>
      </c>
      <c r="Y82" s="4" t="inlineStr">
        <is>
          <t>2026-10-02</t>
        </is>
      </c>
      <c r="Z82" s="4" t="inlineStr">
        <is>
          <t>com.logistics.rider.hungerstation</t>
        </is>
      </c>
      <c r="AB82" s="4" t="n">
        <v>291</v>
      </c>
      <c r="AC82" s="4" t="inlineStr">
        <is>
          <t>2026-10-06</t>
        </is>
      </c>
      <c r="AD82" s="4" t="inlineStr">
        <is>
          <t>com.logistics.rider.foodpanda</t>
        </is>
      </c>
    </row>
    <row r="83">
      <c r="T83" s="7" t="n"/>
      <c r="U83" s="7" t="n"/>
      <c r="V83" s="7" t="n"/>
      <c r="X83" s="7" t="n">
        <v>21</v>
      </c>
      <c r="Y83" s="7" t="inlineStr">
        <is>
          <t>2026-10-02</t>
        </is>
      </c>
      <c r="Z83" s="7" t="inlineStr">
        <is>
          <t>com.logistics.rider.hungerstation</t>
        </is>
      </c>
      <c r="AB83" s="7" t="n">
        <v>18</v>
      </c>
      <c r="AC83" s="7" t="inlineStr">
        <is>
          <t>2026-10-06</t>
        </is>
      </c>
      <c r="AD83" s="7" t="inlineStr">
        <is>
          <t>com.logistics.rider.foodora</t>
        </is>
      </c>
    </row>
    <row r="84">
      <c r="T84" s="4" t="n"/>
      <c r="U84" s="4" t="n"/>
      <c r="V84" s="4" t="n"/>
      <c r="X84" s="4" t="n">
        <v>1</v>
      </c>
      <c r="Y84" s="4" t="inlineStr">
        <is>
          <t>2026-10-02</t>
        </is>
      </c>
      <c r="Z84" s="4" t="inlineStr">
        <is>
          <t>com.logistics.rider.hungerstation</t>
        </is>
      </c>
      <c r="AB84" s="4" t="n">
        <v>5</v>
      </c>
      <c r="AC84" s="4" t="inlineStr">
        <is>
          <t>2026-10-06</t>
        </is>
      </c>
      <c r="AD84" s="4" t="inlineStr">
        <is>
          <t>com.logistics.rider.talabat</t>
        </is>
      </c>
    </row>
    <row r="85">
      <c r="T85" s="7" t="n"/>
      <c r="U85" s="7" t="n"/>
      <c r="V85" s="7" t="n"/>
      <c r="X85" s="7" t="n">
        <v>24</v>
      </c>
      <c r="Y85" s="7" t="inlineStr">
        <is>
          <t>2026-10-03</t>
        </is>
      </c>
      <c r="Z85" s="7" t="inlineStr">
        <is>
          <t>com.logistics.rider.hungerstation</t>
        </is>
      </c>
      <c r="AB85" s="7" t="n">
        <v>142</v>
      </c>
      <c r="AC85" s="7" t="inlineStr">
        <is>
          <t>2026-10-06</t>
        </is>
      </c>
      <c r="AD85" s="7" t="inlineStr">
        <is>
          <t>com.logistics.rider.talabat</t>
        </is>
      </c>
    </row>
    <row r="86">
      <c r="T86" s="4" t="n"/>
      <c r="U86" s="4" t="n"/>
      <c r="V86" s="4" t="n"/>
      <c r="X86" s="4" t="n">
        <v>4</v>
      </c>
      <c r="Y86" s="4" t="inlineStr">
        <is>
          <t>2026-10-03</t>
        </is>
      </c>
      <c r="Z86" s="4" t="inlineStr">
        <is>
          <t>com.logistics.rider.hungerstation</t>
        </is>
      </c>
      <c r="AB86" s="4" t="n">
        <v>3</v>
      </c>
      <c r="AC86" s="4" t="inlineStr">
        <is>
          <t>2026-10-06</t>
        </is>
      </c>
      <c r="AD86" s="4" t="inlineStr">
        <is>
          <t>com.logistics.rider.pedidosya</t>
        </is>
      </c>
    </row>
    <row r="87">
      <c r="T87" s="7" t="n"/>
      <c r="U87" s="7" t="n"/>
      <c r="V87" s="7" t="n"/>
      <c r="X87" s="7" t="n">
        <v>18</v>
      </c>
      <c r="Y87" s="7" t="inlineStr">
        <is>
          <t>2026-10-04</t>
        </is>
      </c>
      <c r="Z87" s="7" t="inlineStr">
        <is>
          <t>com.logistics.rider.hungerstation</t>
        </is>
      </c>
      <c r="AB87" s="7" t="n">
        <v>60</v>
      </c>
      <c r="AC87" s="7" t="inlineStr">
        <is>
          <t>2026-10-06</t>
        </is>
      </c>
      <c r="AD87" s="7" t="inlineStr">
        <is>
          <t>com.logistics.rider.pedidosya</t>
        </is>
      </c>
    </row>
    <row r="88">
      <c r="T88" s="4" t="n"/>
      <c r="U88" s="4" t="n"/>
      <c r="V88" s="4" t="n"/>
      <c r="X88" s="4" t="n">
        <v>2</v>
      </c>
      <c r="Y88" s="4" t="inlineStr">
        <is>
          <t>2026-10-04</t>
        </is>
      </c>
      <c r="Z88" s="4" t="inlineStr">
        <is>
          <t>com.logistics.rider.hungerstation</t>
        </is>
      </c>
      <c r="AB88" s="4" t="n">
        <v>49</v>
      </c>
      <c r="AC88" s="4" t="inlineStr">
        <is>
          <t>2026-10-06</t>
        </is>
      </c>
      <c r="AD88" s="4" t="inlineStr">
        <is>
          <t>com.logistics.rider.hungerstation</t>
        </is>
      </c>
    </row>
    <row r="89">
      <c r="T89" s="7" t="n"/>
      <c r="U89" s="7" t="n"/>
      <c r="V89" s="7" t="n"/>
      <c r="X89" s="7" t="n">
        <v>16</v>
      </c>
      <c r="Y89" s="7" t="inlineStr">
        <is>
          <t>2026-10-05</t>
        </is>
      </c>
      <c r="Z89" s="7" t="inlineStr">
        <is>
          <t>com.logistics.rider.hungerstation</t>
        </is>
      </c>
      <c r="AB89" s="7" t="n">
        <v>5</v>
      </c>
      <c r="AC89" s="7" t="inlineStr">
        <is>
          <t>2026-10-06</t>
        </is>
      </c>
      <c r="AD89" s="7" t="inlineStr">
        <is>
          <t>com.logistics.rider.hungerstation</t>
        </is>
      </c>
    </row>
    <row r="90">
      <c r="T90" s="4" t="n"/>
      <c r="U90" s="4" t="n"/>
      <c r="V90" s="4" t="n"/>
      <c r="X90" s="4" t="n">
        <v>6</v>
      </c>
      <c r="Y90" s="4" t="inlineStr">
        <is>
          <t>2026-10-05</t>
        </is>
      </c>
      <c r="Z90" s="4" t="inlineStr">
        <is>
          <t>com.logistics.rider.hungerstation</t>
        </is>
      </c>
      <c r="AB90" s="4" t="n">
        <v>174</v>
      </c>
      <c r="AC90" s="4" t="inlineStr">
        <is>
          <t>2026-10-06</t>
        </is>
      </c>
      <c r="AD90" s="4" t="inlineStr">
        <is>
          <t>com.logistics.rider.glovo</t>
        </is>
      </c>
    </row>
    <row r="91">
      <c r="T91" s="7" t="n"/>
      <c r="U91" s="7" t="n"/>
      <c r="V91" s="7" t="n"/>
      <c r="X91" s="7" t="n">
        <v>21</v>
      </c>
      <c r="Y91" s="7" t="inlineStr">
        <is>
          <t>2026-10-06</t>
        </is>
      </c>
      <c r="Z91" s="7" t="inlineStr">
        <is>
          <t>com.logistics.rider.hungerstation</t>
        </is>
      </c>
      <c r="AB91" s="7" t="n">
        <v>13</v>
      </c>
      <c r="AC91" s="7" t="inlineStr">
        <is>
          <t>2026-10-06</t>
        </is>
      </c>
      <c r="AD91" s="7" t="inlineStr">
        <is>
          <t>com.logistics.rider.glovo</t>
        </is>
      </c>
    </row>
    <row r="92">
      <c r="T92" s="4" t="n"/>
      <c r="U92" s="4" t="n"/>
      <c r="V92" s="4" t="n"/>
      <c r="X92" s="4" t="n">
        <v>1</v>
      </c>
      <c r="Y92" s="4" t="inlineStr">
        <is>
          <t>2026-10-06</t>
        </is>
      </c>
      <c r="Z92" s="4" t="inlineStr">
        <is>
          <t>com.logistics.rider.hungerstation</t>
        </is>
      </c>
      <c r="AB92" s="4" t="n">
        <v>1</v>
      </c>
      <c r="AC92" s="4" t="inlineStr">
        <is>
          <t>2026-10-06</t>
        </is>
      </c>
      <c r="AD92" s="4" t="inlineStr">
        <is>
          <t>com.logistics.rider.glovo</t>
        </is>
      </c>
    </row>
    <row r="93">
      <c r="T93" s="7" t="n"/>
      <c r="U93" s="7" t="n"/>
      <c r="V93" s="7" t="n"/>
      <c r="X93" s="7" t="n">
        <v>2</v>
      </c>
      <c r="Y93" s="7" t="inlineStr">
        <is>
          <t>2026-10-07</t>
        </is>
      </c>
      <c r="Z93" s="7" t="inlineStr">
        <is>
          <t>com.logistics.rider.hungerstation</t>
        </is>
      </c>
      <c r="AB93" s="7" t="n">
        <v>3</v>
      </c>
      <c r="AC93" s="7" t="inlineStr">
        <is>
          <t>2026-10-06</t>
        </is>
      </c>
      <c r="AD93" s="7" t="inlineStr">
        <is>
          <t>com.logistics.rider.woowabros</t>
        </is>
      </c>
    </row>
    <row r="94">
      <c r="T94" s="4" t="n"/>
      <c r="U94" s="4" t="n"/>
      <c r="V94" s="4" t="n"/>
      <c r="X94" s="4" t="n">
        <v>15</v>
      </c>
      <c r="Y94" s="4" t="inlineStr">
        <is>
          <t>2026-10-07</t>
        </is>
      </c>
      <c r="Z94" s="4" t="inlineStr">
        <is>
          <t>com.logistics.rider.hungerstation</t>
        </is>
      </c>
      <c r="AB94" s="4" t="n">
        <v>10</v>
      </c>
      <c r="AC94" s="4" t="inlineStr">
        <is>
          <t>2026-10-06</t>
        </is>
      </c>
      <c r="AD94" s="4" t="inlineStr">
        <is>
          <t>com.logistics.rider.efood</t>
        </is>
      </c>
    </row>
    <row r="95">
      <c r="T95" s="7" t="n"/>
      <c r="U95" s="7" t="n"/>
      <c r="V95" s="7" t="n"/>
      <c r="X95" s="7" t="n">
        <v>22</v>
      </c>
      <c r="Y95" s="7" t="inlineStr">
        <is>
          <t>2026-10-08</t>
        </is>
      </c>
      <c r="Z95" s="7" t="inlineStr">
        <is>
          <t>com.logistics.rider.hungerstation</t>
        </is>
      </c>
      <c r="AB95" s="7" t="n">
        <v>3</v>
      </c>
      <c r="AC95" s="7" t="inlineStr">
        <is>
          <t>2026-10-06</t>
        </is>
      </c>
      <c r="AD95" s="7" t="inlineStr">
        <is>
          <t>com.logistics.rider.foody</t>
        </is>
      </c>
    </row>
    <row r="96">
      <c r="T96" s="4" t="n"/>
      <c r="U96" s="4" t="n"/>
      <c r="V96" s="4" t="n"/>
      <c r="X96" s="4" t="n">
        <v>4</v>
      </c>
      <c r="Y96" s="4" t="inlineStr">
        <is>
          <t>2026-10-08</t>
        </is>
      </c>
      <c r="Z96" s="4" t="inlineStr">
        <is>
          <t>com.logistics.rider.hungerstation</t>
        </is>
      </c>
      <c r="AB96" s="4" t="n">
        <v>19</v>
      </c>
      <c r="AC96" s="4" t="inlineStr">
        <is>
          <t>2026-10-07</t>
        </is>
      </c>
      <c r="AD96" s="4" t="inlineStr">
        <is>
          <t>com.logistics.rider.foodpanda</t>
        </is>
      </c>
    </row>
    <row r="97">
      <c r="T97" s="7" t="n"/>
      <c r="U97" s="7" t="n"/>
      <c r="V97" s="7" t="n"/>
      <c r="X97" s="7" t="n">
        <v>7</v>
      </c>
      <c r="Y97" s="7" t="inlineStr">
        <is>
          <t>2026-10-09</t>
        </is>
      </c>
      <c r="Z97" s="7" t="inlineStr">
        <is>
          <t>com.logistics.rider.hungerstation</t>
        </is>
      </c>
      <c r="AB97" s="7" t="n">
        <v>309</v>
      </c>
      <c r="AC97" s="7" t="inlineStr">
        <is>
          <t>2026-10-07</t>
        </is>
      </c>
      <c r="AD97" s="7" t="inlineStr">
        <is>
          <t>com.logistics.rider.foodpanda</t>
        </is>
      </c>
    </row>
    <row r="98">
      <c r="T98" s="4" t="n"/>
      <c r="U98" s="4" t="n"/>
      <c r="V98" s="4" t="n"/>
      <c r="X98" s="4" t="n">
        <v>15</v>
      </c>
      <c r="Y98" s="4" t="inlineStr">
        <is>
          <t>2026-10-09</t>
        </is>
      </c>
      <c r="Z98" s="4" t="inlineStr">
        <is>
          <t>com.logistics.rider.hungerstation</t>
        </is>
      </c>
      <c r="AB98" s="4" t="n">
        <v>33</v>
      </c>
      <c r="AC98" s="4" t="inlineStr">
        <is>
          <t>2026-10-07</t>
        </is>
      </c>
      <c r="AD98" s="4" t="inlineStr">
        <is>
          <t>com.logistics.rider.foodora</t>
        </is>
      </c>
    </row>
    <row r="99">
      <c r="T99" s="7" t="n"/>
      <c r="U99" s="7" t="n"/>
      <c r="V99" s="7" t="n"/>
      <c r="X99" s="7" t="n">
        <v>11</v>
      </c>
      <c r="Y99" s="7" t="inlineStr">
        <is>
          <t>2026-10-10</t>
        </is>
      </c>
      <c r="Z99" s="7" t="inlineStr">
        <is>
          <t>com.logistics.rider.hungerstation</t>
        </is>
      </c>
      <c r="AB99" s="7" t="n">
        <v>5</v>
      </c>
      <c r="AC99" s="7" t="inlineStr">
        <is>
          <t>2026-10-07</t>
        </is>
      </c>
      <c r="AD99" s="7" t="inlineStr">
        <is>
          <t>com.logistics.rider.foodora</t>
        </is>
      </c>
    </row>
    <row r="100">
      <c r="T100" s="4" t="n"/>
      <c r="U100" s="4" t="n"/>
      <c r="V100" s="4" t="n"/>
      <c r="X100" s="4" t="n">
        <v>6</v>
      </c>
      <c r="Y100" s="4" t="inlineStr">
        <is>
          <t>2026-10-10</t>
        </is>
      </c>
      <c r="Z100" s="4" t="inlineStr">
        <is>
          <t>com.logistics.rider.hungerstation</t>
        </is>
      </c>
      <c r="AB100" s="4" t="n">
        <v>1</v>
      </c>
      <c r="AC100" s="4" t="inlineStr">
        <is>
          <t>2026-10-07</t>
        </is>
      </c>
      <c r="AD100" s="4" t="inlineStr">
        <is>
          <t>com.logistics.rider.talabat</t>
        </is>
      </c>
    </row>
    <row r="101">
      <c r="T101" s="7" t="n"/>
      <c r="U101" s="7" t="n"/>
      <c r="V101" s="7" t="n"/>
      <c r="X101" s="7" t="n">
        <v>2</v>
      </c>
      <c r="Y101" s="7" t="inlineStr">
        <is>
          <t>2026-10-11</t>
        </is>
      </c>
      <c r="Z101" s="7" t="inlineStr">
        <is>
          <t>com.logistics.rider.hungerstation</t>
        </is>
      </c>
      <c r="AB101" s="7" t="n">
        <v>140</v>
      </c>
      <c r="AC101" s="7" t="inlineStr">
        <is>
          <t>2026-10-07</t>
        </is>
      </c>
      <c r="AD101" s="7" t="inlineStr">
        <is>
          <t>com.logistics.rider.talabat</t>
        </is>
      </c>
    </row>
    <row r="102">
      <c r="T102" s="4" t="n"/>
      <c r="U102" s="4" t="n"/>
      <c r="V102" s="4" t="n"/>
      <c r="X102" s="4" t="n">
        <v>15</v>
      </c>
      <c r="Y102" s="4" t="inlineStr">
        <is>
          <t>2026-10-11</t>
        </is>
      </c>
      <c r="Z102" s="4" t="inlineStr">
        <is>
          <t>com.logistics.rider.hungerstation</t>
        </is>
      </c>
      <c r="AB102" s="4" t="n">
        <v>8</v>
      </c>
      <c r="AC102" s="4" t="inlineStr">
        <is>
          <t>2026-10-07</t>
        </is>
      </c>
      <c r="AD102" s="4" t="inlineStr">
        <is>
          <t>com.logistics.rider.talabat</t>
        </is>
      </c>
    </row>
    <row r="103">
      <c r="T103" s="7" t="n"/>
      <c r="U103" s="7" t="n"/>
      <c r="V103" s="7" t="n"/>
      <c r="X103" s="7" t="n">
        <v>14</v>
      </c>
      <c r="Y103" s="7" t="inlineStr">
        <is>
          <t>2026-10-12</t>
        </is>
      </c>
      <c r="Z103" s="7" t="inlineStr">
        <is>
          <t>com.logistics.rider.hungerstation</t>
        </is>
      </c>
      <c r="AB103" s="7" t="n">
        <v>64</v>
      </c>
      <c r="AC103" s="7" t="inlineStr">
        <is>
          <t>2026-10-07</t>
        </is>
      </c>
      <c r="AD103" s="7" t="inlineStr">
        <is>
          <t>com.logistics.rider.pedidosya</t>
        </is>
      </c>
    </row>
    <row r="104">
      <c r="T104" s="4" t="n"/>
      <c r="U104" s="4" t="n"/>
      <c r="V104" s="4" t="n"/>
      <c r="X104" s="4" t="n">
        <v>7</v>
      </c>
      <c r="Y104" s="4" t="inlineStr">
        <is>
          <t>2026-10-12</t>
        </is>
      </c>
      <c r="Z104" s="4" t="inlineStr">
        <is>
          <t>com.logistics.rider.hungerstation</t>
        </is>
      </c>
      <c r="AB104" s="4" t="n">
        <v>2</v>
      </c>
      <c r="AC104" s="4" t="inlineStr">
        <is>
          <t>2026-10-07</t>
        </is>
      </c>
      <c r="AD104" s="4" t="inlineStr">
        <is>
          <t>com.logistics.rider.pedidosya</t>
        </is>
      </c>
    </row>
    <row r="105">
      <c r="T105" s="7" t="n"/>
      <c r="U105" s="7" t="n"/>
      <c r="V105" s="7" t="n"/>
      <c r="X105" s="7" t="n">
        <v>1</v>
      </c>
      <c r="Y105" s="7" t="inlineStr">
        <is>
          <t>2026-10-01</t>
        </is>
      </c>
      <c r="Z105" s="7" t="inlineStr">
        <is>
          <t>com.logistics.rider.yemeksepeti</t>
        </is>
      </c>
      <c r="AB105" s="7" t="n">
        <v>38</v>
      </c>
      <c r="AC105" s="7" t="inlineStr">
        <is>
          <t>2026-10-07</t>
        </is>
      </c>
      <c r="AD105" s="7" t="inlineStr">
        <is>
          <t>com.logistics.rider.hungerstation</t>
        </is>
      </c>
    </row>
    <row r="106">
      <c r="T106" s="4" t="n"/>
      <c r="U106" s="4" t="n"/>
      <c r="V106" s="4" t="n"/>
      <c r="X106" s="4" t="n">
        <v>1</v>
      </c>
      <c r="Y106" s="4" t="inlineStr">
        <is>
          <t>2026-10-10</t>
        </is>
      </c>
      <c r="Z106" s="4" t="inlineStr">
        <is>
          <t>com.logistics.rider.yemeksepeti</t>
        </is>
      </c>
      <c r="AB106" s="4" t="n">
        <v>10</v>
      </c>
      <c r="AC106" s="4" t="inlineStr">
        <is>
          <t>2026-10-07</t>
        </is>
      </c>
      <c r="AD106" s="4" t="inlineStr">
        <is>
          <t>com.logistics.rider.hungerstation</t>
        </is>
      </c>
    </row>
    <row r="107">
      <c r="T107" s="7" t="n"/>
      <c r="U107" s="7" t="n"/>
      <c r="V107" s="7" t="n"/>
      <c r="X107" s="7" t="n">
        <v>3</v>
      </c>
      <c r="Y107" s="7" t="inlineStr">
        <is>
          <t>2026-10-01</t>
        </is>
      </c>
      <c r="Z107" s="7" t="inlineStr">
        <is>
          <t>com.logistics.rider.glovo</t>
        </is>
      </c>
      <c r="AB107" s="7" t="n">
        <v>1</v>
      </c>
      <c r="AC107" s="7" t="inlineStr">
        <is>
          <t>2026-10-07</t>
        </is>
      </c>
      <c r="AD107" s="7" t="inlineStr">
        <is>
          <t>com.logistics.rider.glovo</t>
        </is>
      </c>
    </row>
    <row r="108">
      <c r="T108" s="4" t="n"/>
      <c r="U108" s="4" t="n"/>
      <c r="V108" s="4" t="n"/>
      <c r="X108" s="4" t="n">
        <v>52</v>
      </c>
      <c r="Y108" s="4" t="inlineStr">
        <is>
          <t>2026-10-01</t>
        </is>
      </c>
      <c r="Z108" s="4" t="inlineStr">
        <is>
          <t>com.logistics.rider.glovo</t>
        </is>
      </c>
      <c r="AB108" s="4" t="n">
        <v>8</v>
      </c>
      <c r="AC108" s="4" t="inlineStr">
        <is>
          <t>2026-10-07</t>
        </is>
      </c>
      <c r="AD108" s="4" t="inlineStr">
        <is>
          <t>com.logistics.rider.glovo</t>
        </is>
      </c>
    </row>
    <row r="109">
      <c r="T109" s="7" t="n"/>
      <c r="U109" s="7" t="n"/>
      <c r="V109" s="7" t="n"/>
      <c r="X109" s="7" t="n">
        <v>3</v>
      </c>
      <c r="Y109" s="7" t="inlineStr">
        <is>
          <t>2026-10-02</t>
        </is>
      </c>
      <c r="Z109" s="7" t="inlineStr">
        <is>
          <t>com.logistics.rider.glovo</t>
        </is>
      </c>
      <c r="AB109" s="7" t="n">
        <v>158</v>
      </c>
      <c r="AC109" s="7" t="inlineStr">
        <is>
          <t>2026-10-07</t>
        </is>
      </c>
      <c r="AD109" s="7" t="inlineStr">
        <is>
          <t>com.logistics.rider.glovo</t>
        </is>
      </c>
    </row>
    <row r="110">
      <c r="T110" s="4" t="n"/>
      <c r="U110" s="4" t="n"/>
      <c r="V110" s="4" t="n"/>
      <c r="X110" s="4" t="n">
        <v>38</v>
      </c>
      <c r="Y110" s="4" t="inlineStr">
        <is>
          <t>2026-10-02</t>
        </is>
      </c>
      <c r="Z110" s="4" t="inlineStr">
        <is>
          <t>com.logistics.rider.glovo</t>
        </is>
      </c>
      <c r="AB110" s="4" t="n">
        <v>17</v>
      </c>
      <c r="AC110" s="4" t="inlineStr">
        <is>
          <t>2026-10-07</t>
        </is>
      </c>
      <c r="AD110" s="4" t="inlineStr">
        <is>
          <t>com.logistics.rider.efood</t>
        </is>
      </c>
    </row>
    <row r="111">
      <c r="T111" s="7" t="n"/>
      <c r="U111" s="7" t="n"/>
      <c r="V111" s="7" t="n"/>
      <c r="X111" s="7" t="n">
        <v>58</v>
      </c>
      <c r="Y111" s="7" t="inlineStr">
        <is>
          <t>2026-10-03</t>
        </is>
      </c>
      <c r="Z111" s="7" t="inlineStr">
        <is>
          <t>com.logistics.rider.glovo</t>
        </is>
      </c>
      <c r="AB111" s="7" t="n">
        <v>22</v>
      </c>
      <c r="AC111" s="7" t="inlineStr">
        <is>
          <t>2026-10-08</t>
        </is>
      </c>
      <c r="AD111" s="7" t="inlineStr">
        <is>
          <t>com.logistics.rider.foodpanda</t>
        </is>
      </c>
    </row>
    <row r="112">
      <c r="T112" s="4" t="n"/>
      <c r="U112" s="4" t="n"/>
      <c r="V112" s="4" t="n"/>
      <c r="X112" s="4" t="n">
        <v>1</v>
      </c>
      <c r="Y112" s="4" t="inlineStr">
        <is>
          <t>2026-10-03</t>
        </is>
      </c>
      <c r="Z112" s="4" t="inlineStr">
        <is>
          <t>com.logistics.rider.glovo</t>
        </is>
      </c>
      <c r="AB112" s="4" t="n">
        <v>291</v>
      </c>
      <c r="AC112" s="4" t="inlineStr">
        <is>
          <t>2026-10-08</t>
        </is>
      </c>
      <c r="AD112" s="4" t="inlineStr">
        <is>
          <t>com.logistics.rider.foodpanda</t>
        </is>
      </c>
    </row>
    <row r="113">
      <c r="T113" s="7" t="n"/>
      <c r="U113" s="7" t="n"/>
      <c r="V113" s="7" t="n"/>
      <c r="X113" s="7" t="n">
        <v>52</v>
      </c>
      <c r="Y113" s="7" t="inlineStr">
        <is>
          <t>2026-10-04</t>
        </is>
      </c>
      <c r="Z113" s="7" t="inlineStr">
        <is>
          <t>com.logistics.rider.glovo</t>
        </is>
      </c>
      <c r="AB113" s="7" t="n">
        <v>26</v>
      </c>
      <c r="AC113" s="7" t="inlineStr">
        <is>
          <t>2026-10-08</t>
        </is>
      </c>
      <c r="AD113" s="7" t="inlineStr">
        <is>
          <t>com.logistics.rider.foodora</t>
        </is>
      </c>
    </row>
    <row r="114">
      <c r="T114" s="4" t="n"/>
      <c r="U114" s="4" t="n"/>
      <c r="V114" s="4" t="n"/>
      <c r="X114" s="4" t="n">
        <v>2</v>
      </c>
      <c r="Y114" s="4" t="inlineStr">
        <is>
          <t>2026-10-04</t>
        </is>
      </c>
      <c r="Z114" s="4" t="inlineStr">
        <is>
          <t>com.logistics.rider.glovo</t>
        </is>
      </c>
      <c r="AB114" s="4" t="n">
        <v>1</v>
      </c>
      <c r="AC114" s="4" t="inlineStr">
        <is>
          <t>2026-10-08</t>
        </is>
      </c>
      <c r="AD114" s="4" t="inlineStr">
        <is>
          <t>com.logistics.rider.foodora</t>
        </is>
      </c>
    </row>
    <row r="115">
      <c r="T115" s="7" t="n"/>
      <c r="U115" s="7" t="n"/>
      <c r="V115" s="7" t="n"/>
      <c r="X115" s="7" t="n">
        <v>37</v>
      </c>
      <c r="Y115" s="7" t="inlineStr">
        <is>
          <t>2026-10-05</t>
        </is>
      </c>
      <c r="Z115" s="7" t="inlineStr">
        <is>
          <t>com.logistics.rider.glovo</t>
        </is>
      </c>
      <c r="AB115" s="7" t="n">
        <v>145</v>
      </c>
      <c r="AC115" s="7" t="inlineStr">
        <is>
          <t>2026-10-08</t>
        </is>
      </c>
      <c r="AD115" s="7" t="inlineStr">
        <is>
          <t>com.logistics.rider.talabat</t>
        </is>
      </c>
    </row>
    <row r="116">
      <c r="T116" s="4" t="n"/>
      <c r="U116" s="4" t="n"/>
      <c r="V116" s="4" t="n"/>
      <c r="X116" s="4" t="n">
        <v>1</v>
      </c>
      <c r="Y116" s="4" t="inlineStr">
        <is>
          <t>2026-10-05</t>
        </is>
      </c>
      <c r="Z116" s="4" t="inlineStr">
        <is>
          <t>com.logistics.rider.glovo</t>
        </is>
      </c>
      <c r="AB116" s="4" t="n">
        <v>6</v>
      </c>
      <c r="AC116" s="4" t="inlineStr">
        <is>
          <t>2026-10-08</t>
        </is>
      </c>
      <c r="AD116" s="4" t="inlineStr">
        <is>
          <t>com.logistics.rider.talabat</t>
        </is>
      </c>
    </row>
    <row r="117">
      <c r="T117" s="7" t="n"/>
      <c r="U117" s="7" t="n"/>
      <c r="V117" s="7" t="n"/>
      <c r="X117" s="7" t="n">
        <v>5</v>
      </c>
      <c r="Y117" s="7" t="inlineStr">
        <is>
          <t>2026-10-05</t>
        </is>
      </c>
      <c r="Z117" s="7" t="inlineStr">
        <is>
          <t>com.logistics.rider.glovo</t>
        </is>
      </c>
      <c r="AB117" s="7" t="n">
        <v>1</v>
      </c>
      <c r="AC117" s="7" t="inlineStr">
        <is>
          <t>2026-10-08</t>
        </is>
      </c>
      <c r="AD117" s="7" t="inlineStr">
        <is>
          <t>com.logistics.rider.pedidosya</t>
        </is>
      </c>
    </row>
    <row r="118">
      <c r="T118" s="4" t="n"/>
      <c r="U118" s="4" t="n"/>
      <c r="V118" s="4" t="n"/>
      <c r="X118" s="4" t="n">
        <v>4</v>
      </c>
      <c r="Y118" s="4" t="inlineStr">
        <is>
          <t>2026-10-06</t>
        </is>
      </c>
      <c r="Z118" s="4" t="inlineStr">
        <is>
          <t>com.logistics.rider.glovo</t>
        </is>
      </c>
      <c r="AB118" s="4" t="n">
        <v>59</v>
      </c>
      <c r="AC118" s="4" t="inlineStr">
        <is>
          <t>2026-10-08</t>
        </is>
      </c>
      <c r="AD118" s="4" t="inlineStr">
        <is>
          <t>com.logistics.rider.pedidosya</t>
        </is>
      </c>
    </row>
    <row r="119">
      <c r="T119" s="7" t="n"/>
      <c r="U119" s="7" t="n"/>
      <c r="V119" s="7" t="n"/>
      <c r="X119" s="7" t="n">
        <v>49</v>
      </c>
      <c r="Y119" s="7" t="inlineStr">
        <is>
          <t>2026-10-06</t>
        </is>
      </c>
      <c r="Z119" s="7" t="inlineStr">
        <is>
          <t>com.logistics.rider.glovo</t>
        </is>
      </c>
      <c r="AB119" s="7" t="n">
        <v>4</v>
      </c>
      <c r="AC119" s="7" t="inlineStr">
        <is>
          <t>2026-10-08</t>
        </is>
      </c>
      <c r="AD119" s="7" t="inlineStr">
        <is>
          <t>com.logistics.rider.hungerstation</t>
        </is>
      </c>
    </row>
    <row r="120">
      <c r="T120" s="4" t="n"/>
      <c r="U120" s="4" t="n"/>
      <c r="V120" s="4" t="n"/>
      <c r="X120" s="4" t="n">
        <v>2</v>
      </c>
      <c r="Y120" s="4" t="inlineStr">
        <is>
          <t>2026-10-07</t>
        </is>
      </c>
      <c r="Z120" s="4" t="inlineStr">
        <is>
          <t>com.logistics.rider.glovo</t>
        </is>
      </c>
      <c r="AB120" s="4" t="n">
        <v>57</v>
      </c>
      <c r="AC120" s="4" t="inlineStr">
        <is>
          <t>2026-10-08</t>
        </is>
      </c>
      <c r="AD120" s="4" t="inlineStr">
        <is>
          <t>com.logistics.rider.hungerstation</t>
        </is>
      </c>
    </row>
    <row r="121">
      <c r="T121" s="7" t="n"/>
      <c r="U121" s="7" t="n"/>
      <c r="V121" s="7" t="n"/>
      <c r="X121" s="7" t="n">
        <v>54</v>
      </c>
      <c r="Y121" s="7" t="inlineStr">
        <is>
          <t>2026-10-07</t>
        </is>
      </c>
      <c r="Z121" s="7" t="inlineStr">
        <is>
          <t>com.logistics.rider.glovo</t>
        </is>
      </c>
      <c r="AB121" s="7" t="n">
        <v>2</v>
      </c>
      <c r="AC121" s="7" t="inlineStr">
        <is>
          <t>2026-10-08</t>
        </is>
      </c>
      <c r="AD121" s="7" t="inlineStr">
        <is>
          <t>com.logistics.rider.yemeksepeti</t>
        </is>
      </c>
    </row>
    <row r="122">
      <c r="T122" s="4" t="n"/>
      <c r="U122" s="4" t="n"/>
      <c r="V122" s="4" t="n"/>
      <c r="X122" s="4" t="n">
        <v>42</v>
      </c>
      <c r="Y122" s="4" t="inlineStr">
        <is>
          <t>2026-10-08</t>
        </is>
      </c>
      <c r="Z122" s="4" t="inlineStr">
        <is>
          <t>com.logistics.rider.glovo</t>
        </is>
      </c>
      <c r="AB122" s="4" t="n">
        <v>8</v>
      </c>
      <c r="AC122" s="4" t="inlineStr">
        <is>
          <t>2026-10-08</t>
        </is>
      </c>
      <c r="AD122" s="4" t="inlineStr">
        <is>
          <t>com.logistics.rider.glovo</t>
        </is>
      </c>
    </row>
    <row r="123">
      <c r="T123" s="7" t="n"/>
      <c r="U123" s="7" t="n"/>
      <c r="V123" s="7" t="n"/>
      <c r="X123" s="7" t="n">
        <v>4</v>
      </c>
      <c r="Y123" s="7" t="inlineStr">
        <is>
          <t>2026-10-08</t>
        </is>
      </c>
      <c r="Z123" s="7" t="inlineStr">
        <is>
          <t>com.logistics.rider.glovo</t>
        </is>
      </c>
      <c r="AB123" s="7" t="n">
        <v>157</v>
      </c>
      <c r="AC123" s="7" t="inlineStr">
        <is>
          <t>2026-10-08</t>
        </is>
      </c>
      <c r="AD123" s="7" t="inlineStr">
        <is>
          <t>com.logistics.rider.glovo</t>
        </is>
      </c>
    </row>
    <row r="124">
      <c r="T124" s="4" t="n"/>
      <c r="U124" s="4" t="n"/>
      <c r="V124" s="4" t="n"/>
      <c r="X124" s="4" t="n">
        <v>51</v>
      </c>
      <c r="Y124" s="4" t="inlineStr">
        <is>
          <t>2026-10-09</t>
        </is>
      </c>
      <c r="Z124" s="4" t="inlineStr">
        <is>
          <t>com.logistics.rider.glovo</t>
        </is>
      </c>
      <c r="AB124" s="4" t="n">
        <v>12</v>
      </c>
      <c r="AC124" s="4" t="inlineStr">
        <is>
          <t>2026-10-08</t>
        </is>
      </c>
      <c r="AD124" s="4" t="inlineStr">
        <is>
          <t>com.logistics.rider.efood</t>
        </is>
      </c>
    </row>
    <row r="125">
      <c r="T125" s="7" t="n"/>
      <c r="U125" s="7" t="n"/>
      <c r="V125" s="7" t="n"/>
      <c r="X125" s="7" t="n">
        <v>2</v>
      </c>
      <c r="Y125" s="7" t="inlineStr">
        <is>
          <t>2026-10-09</t>
        </is>
      </c>
      <c r="Z125" s="7" t="inlineStr">
        <is>
          <t>com.logistics.rider.glovo</t>
        </is>
      </c>
      <c r="AB125" s="7" t="n">
        <v>1</v>
      </c>
      <c r="AC125" s="7" t="inlineStr">
        <is>
          <t>2026-10-08</t>
        </is>
      </c>
      <c r="AD125" s="7" t="inlineStr">
        <is>
          <t>com.logistics.rider.foody</t>
        </is>
      </c>
    </row>
    <row r="126">
      <c r="T126" s="4" t="n"/>
      <c r="U126" s="4" t="n"/>
      <c r="V126" s="4" t="n"/>
      <c r="X126" s="4" t="n">
        <v>38</v>
      </c>
      <c r="Y126" s="4" t="inlineStr">
        <is>
          <t>2026-10-10</t>
        </is>
      </c>
      <c r="Z126" s="4" t="inlineStr">
        <is>
          <t>com.logistics.rider.glovo</t>
        </is>
      </c>
      <c r="AB126" s="4" t="n">
        <v>371</v>
      </c>
      <c r="AC126" s="4" t="inlineStr">
        <is>
          <t>2026-10-09</t>
        </is>
      </c>
      <c r="AD126" s="4" t="inlineStr">
        <is>
          <t>com.logistics.rider.foodpanda</t>
        </is>
      </c>
    </row>
    <row r="127">
      <c r="T127" s="7" t="n"/>
      <c r="U127" s="7" t="n"/>
      <c r="V127" s="7" t="n"/>
      <c r="X127" s="7" t="n">
        <v>4</v>
      </c>
      <c r="Y127" s="7" t="inlineStr">
        <is>
          <t>2026-10-10</t>
        </is>
      </c>
      <c r="Z127" s="7" t="inlineStr">
        <is>
          <t>com.logistics.rider.glovo</t>
        </is>
      </c>
      <c r="AB127" s="7" t="n">
        <v>27</v>
      </c>
      <c r="AC127" s="7" t="inlineStr">
        <is>
          <t>2026-10-09</t>
        </is>
      </c>
      <c r="AD127" s="7" t="inlineStr">
        <is>
          <t>com.logistics.rider.foodpanda</t>
        </is>
      </c>
    </row>
    <row r="128">
      <c r="T128" s="4" t="n"/>
      <c r="U128" s="4" t="n"/>
      <c r="V128" s="4" t="n"/>
      <c r="X128" s="4" t="n">
        <v>48</v>
      </c>
      <c r="Y128" s="4" t="inlineStr">
        <is>
          <t>2026-10-11</t>
        </is>
      </c>
      <c r="Z128" s="4" t="inlineStr">
        <is>
          <t>com.logistics.rider.glovo</t>
        </is>
      </c>
      <c r="AB128" s="4" t="n">
        <v>35</v>
      </c>
      <c r="AC128" s="4" t="inlineStr">
        <is>
          <t>2026-10-09</t>
        </is>
      </c>
      <c r="AD128" s="4" t="inlineStr">
        <is>
          <t>com.logistics.rider.foodora</t>
        </is>
      </c>
    </row>
    <row r="129">
      <c r="T129" s="7" t="n"/>
      <c r="U129" s="7" t="n"/>
      <c r="V129" s="7" t="n"/>
      <c r="X129" s="7" t="n">
        <v>3</v>
      </c>
      <c r="Y129" s="7" t="inlineStr">
        <is>
          <t>2026-10-11</t>
        </is>
      </c>
      <c r="Z129" s="7" t="inlineStr">
        <is>
          <t>com.logistics.rider.glovo</t>
        </is>
      </c>
      <c r="AB129" s="7" t="n">
        <v>6</v>
      </c>
      <c r="AC129" s="7" t="inlineStr">
        <is>
          <t>2026-10-09</t>
        </is>
      </c>
      <c r="AD129" s="7" t="inlineStr">
        <is>
          <t>com.logistics.rider.talabat</t>
        </is>
      </c>
    </row>
    <row r="130">
      <c r="T130" s="4" t="n"/>
      <c r="U130" s="4" t="n"/>
      <c r="V130" s="4" t="n"/>
      <c r="X130" s="4" t="n">
        <v>1</v>
      </c>
      <c r="Y130" s="4" t="inlineStr">
        <is>
          <t>2026-10-12</t>
        </is>
      </c>
      <c r="Z130" s="4" t="inlineStr">
        <is>
          <t>com.logistics.rider.glovo</t>
        </is>
      </c>
      <c r="AB130" s="4" t="n">
        <v>149</v>
      </c>
      <c r="AC130" s="4" t="inlineStr">
        <is>
          <t>2026-10-09</t>
        </is>
      </c>
      <c r="AD130" s="4" t="inlineStr">
        <is>
          <t>com.logistics.rider.talabat</t>
        </is>
      </c>
    </row>
    <row r="131">
      <c r="T131" s="7" t="n"/>
      <c r="U131" s="7" t="n"/>
      <c r="V131" s="7" t="n"/>
      <c r="X131" s="7" t="n">
        <v>51</v>
      </c>
      <c r="Y131" s="7" t="inlineStr">
        <is>
          <t>2026-10-12</t>
        </is>
      </c>
      <c r="Z131" s="7" t="inlineStr">
        <is>
          <t>com.logistics.rider.glovo</t>
        </is>
      </c>
      <c r="AB131" s="7" t="n">
        <v>1</v>
      </c>
      <c r="AC131" s="7" t="inlineStr">
        <is>
          <t>2026-10-09</t>
        </is>
      </c>
      <c r="AD131" s="7" t="inlineStr">
        <is>
          <t>com.logistics.rider.talabat</t>
        </is>
      </c>
    </row>
    <row r="132">
      <c r="T132" s="4" t="n"/>
      <c r="U132" s="4" t="n"/>
      <c r="V132" s="4" t="n"/>
      <c r="X132" s="4" t="n">
        <v>1</v>
      </c>
      <c r="Y132" s="4" t="inlineStr">
        <is>
          <t>2026-10-02</t>
        </is>
      </c>
      <c r="Z132" s="4" t="inlineStr">
        <is>
          <t>com.logistics.rider.woowabros</t>
        </is>
      </c>
      <c r="AB132" s="4" t="n">
        <v>1</v>
      </c>
      <c r="AC132" s="4" t="inlineStr">
        <is>
          <t>2026-10-09</t>
        </is>
      </c>
      <c r="AD132" s="4" t="inlineStr">
        <is>
          <t>com.logistics.rider.pedidosya</t>
        </is>
      </c>
    </row>
    <row r="133">
      <c r="T133" s="7" t="n"/>
      <c r="U133" s="7" t="n"/>
      <c r="V133" s="7" t="n"/>
      <c r="X133" s="7" t="n">
        <v>1</v>
      </c>
      <c r="Y133" s="7" t="inlineStr">
        <is>
          <t>2026-10-05</t>
        </is>
      </c>
      <c r="Z133" s="7" t="inlineStr">
        <is>
          <t>com.logistics.rider.woowabros</t>
        </is>
      </c>
      <c r="AB133" s="7" t="n">
        <v>68</v>
      </c>
      <c r="AC133" s="7" t="inlineStr">
        <is>
          <t>2026-10-09</t>
        </is>
      </c>
      <c r="AD133" s="7" t="inlineStr">
        <is>
          <t>com.logistics.rider.pedidosya</t>
        </is>
      </c>
    </row>
    <row r="134">
      <c r="T134" s="4" t="n"/>
      <c r="U134" s="4" t="n"/>
      <c r="V134" s="4" t="n"/>
      <c r="X134" s="4" t="n">
        <v>1</v>
      </c>
      <c r="Y134" s="4" t="inlineStr">
        <is>
          <t>2026-10-06</t>
        </is>
      </c>
      <c r="Z134" s="4" t="inlineStr">
        <is>
          <t>com.logistics.rider.woowabros</t>
        </is>
      </c>
      <c r="AB134" s="4" t="n">
        <v>51</v>
      </c>
      <c r="AC134" s="4" t="inlineStr">
        <is>
          <t>2026-10-09</t>
        </is>
      </c>
      <c r="AD134" s="4" t="inlineStr">
        <is>
          <t>com.logistics.rider.hungerstation</t>
        </is>
      </c>
    </row>
    <row r="135">
      <c r="T135" s="7" t="n"/>
      <c r="U135" s="7" t="n"/>
      <c r="V135" s="7" t="n"/>
      <c r="X135" s="7" t="n">
        <v>6</v>
      </c>
      <c r="Y135" s="7" t="inlineStr">
        <is>
          <t>2026-10-01</t>
        </is>
      </c>
      <c r="Z135" s="7" t="inlineStr">
        <is>
          <t>com.logistics.rider.efood</t>
        </is>
      </c>
      <c r="AB135" s="7" t="n">
        <v>7</v>
      </c>
      <c r="AC135" s="7" t="inlineStr">
        <is>
          <t>2026-10-09</t>
        </is>
      </c>
      <c r="AD135" s="7" t="inlineStr">
        <is>
          <t>com.logistics.rider.hungerstation</t>
        </is>
      </c>
    </row>
    <row r="136">
      <c r="T136" s="4" t="n"/>
      <c r="U136" s="4" t="n"/>
      <c r="V136" s="4" t="n"/>
      <c r="X136" s="4" t="n">
        <v>12</v>
      </c>
      <c r="Y136" s="4" t="inlineStr">
        <is>
          <t>2026-10-02</t>
        </is>
      </c>
      <c r="Z136" s="4" t="inlineStr">
        <is>
          <t>com.logistics.rider.efood</t>
        </is>
      </c>
      <c r="AB136" s="4" t="n">
        <v>8</v>
      </c>
      <c r="AC136" s="4" t="inlineStr">
        <is>
          <t>2026-10-09</t>
        </is>
      </c>
      <c r="AD136" s="4" t="inlineStr">
        <is>
          <t>com.logistics.rider.glovo</t>
        </is>
      </c>
    </row>
    <row r="137">
      <c r="T137" s="7" t="n"/>
      <c r="U137" s="7" t="n"/>
      <c r="V137" s="7" t="n"/>
      <c r="X137" s="7" t="n">
        <v>1</v>
      </c>
      <c r="Y137" s="7" t="inlineStr">
        <is>
          <t>2026-10-03</t>
        </is>
      </c>
      <c r="Z137" s="7" t="inlineStr">
        <is>
          <t>com.logistics.rider.efood</t>
        </is>
      </c>
      <c r="AB137" s="7" t="n">
        <v>164</v>
      </c>
      <c r="AC137" s="7" t="inlineStr">
        <is>
          <t>2026-10-09</t>
        </is>
      </c>
      <c r="AD137" s="7" t="inlineStr">
        <is>
          <t>com.logistics.rider.glovo</t>
        </is>
      </c>
    </row>
    <row r="138">
      <c r="T138" s="4" t="n"/>
      <c r="U138" s="4" t="n"/>
      <c r="V138" s="4" t="n"/>
      <c r="X138" s="4" t="n">
        <v>5</v>
      </c>
      <c r="Y138" s="4" t="inlineStr">
        <is>
          <t>2026-10-03</t>
        </is>
      </c>
      <c r="Z138" s="4" t="inlineStr">
        <is>
          <t>com.logistics.rider.efood</t>
        </is>
      </c>
      <c r="AB138" s="4" t="n">
        <v>16</v>
      </c>
      <c r="AC138" s="4" t="inlineStr">
        <is>
          <t>2026-10-09</t>
        </is>
      </c>
      <c r="AD138" s="4" t="inlineStr">
        <is>
          <t>com.logistics.rider.efood</t>
        </is>
      </c>
    </row>
    <row r="139">
      <c r="T139" s="7" t="n"/>
      <c r="U139" s="7" t="n"/>
      <c r="V139" s="7" t="n"/>
      <c r="X139" s="7" t="n">
        <v>5</v>
      </c>
      <c r="Y139" s="7" t="inlineStr">
        <is>
          <t>2026-10-04</t>
        </is>
      </c>
      <c r="Z139" s="7" t="inlineStr">
        <is>
          <t>com.logistics.rider.efood</t>
        </is>
      </c>
      <c r="AB139" s="7" t="n">
        <v>1</v>
      </c>
      <c r="AC139" s="7" t="inlineStr">
        <is>
          <t>2026-10-09</t>
        </is>
      </c>
      <c r="AD139" s="7" t="inlineStr">
        <is>
          <t>com.logistics.rider.foody</t>
        </is>
      </c>
    </row>
    <row r="140">
      <c r="T140" s="4" t="n"/>
      <c r="U140" s="4" t="n"/>
      <c r="V140" s="4" t="n"/>
      <c r="X140" s="4" t="n">
        <v>1</v>
      </c>
      <c r="Y140" s="4" t="inlineStr">
        <is>
          <t>2026-10-04</t>
        </is>
      </c>
      <c r="Z140" s="4" t="inlineStr">
        <is>
          <t>com.logistics.rider.efood</t>
        </is>
      </c>
      <c r="AB140" s="4" t="n">
        <v>3</v>
      </c>
      <c r="AC140" s="4" t="inlineStr">
        <is>
          <t>2026-10-09</t>
        </is>
      </c>
      <c r="AD140" s="4" t="inlineStr">
        <is>
          <t>com.logistics.rider.foody</t>
        </is>
      </c>
    </row>
    <row r="141">
      <c r="T141" s="7" t="n"/>
      <c r="U141" s="7" t="n"/>
      <c r="V141" s="7" t="n"/>
      <c r="X141" s="7" t="n">
        <v>9</v>
      </c>
      <c r="Y141" s="7" t="inlineStr">
        <is>
          <t>2026-10-05</t>
        </is>
      </c>
      <c r="Z141" s="7" t="inlineStr">
        <is>
          <t>com.logistics.rider.efood</t>
        </is>
      </c>
      <c r="AB141" s="7" t="n">
        <v>310</v>
      </c>
      <c r="AC141" s="7" t="inlineStr">
        <is>
          <t>2026-10-10</t>
        </is>
      </c>
      <c r="AD141" s="7" t="inlineStr">
        <is>
          <t>com.logistics.rider.foodpanda</t>
        </is>
      </c>
    </row>
    <row r="142">
      <c r="T142" s="4" t="n"/>
      <c r="U142" s="4" t="n"/>
      <c r="V142" s="4" t="n"/>
      <c r="X142" s="4" t="n">
        <v>8</v>
      </c>
      <c r="Y142" s="4" t="inlineStr">
        <is>
          <t>2026-10-06</t>
        </is>
      </c>
      <c r="Z142" s="4" t="inlineStr">
        <is>
          <t>com.logistics.rider.efood</t>
        </is>
      </c>
      <c r="AB142" s="4" t="n">
        <v>30</v>
      </c>
      <c r="AC142" s="4" t="inlineStr">
        <is>
          <t>2026-10-10</t>
        </is>
      </c>
      <c r="AD142" s="4" t="inlineStr">
        <is>
          <t>com.logistics.rider.foodpanda</t>
        </is>
      </c>
    </row>
    <row r="143">
      <c r="T143" s="7" t="n"/>
      <c r="U143" s="7" t="n"/>
      <c r="V143" s="7" t="n"/>
      <c r="X143" s="7" t="n">
        <v>1</v>
      </c>
      <c r="Y143" s="7" t="inlineStr">
        <is>
          <t>2026-10-07</t>
        </is>
      </c>
      <c r="Z143" s="7" t="inlineStr">
        <is>
          <t>com.logistics.rider.efood</t>
        </is>
      </c>
      <c r="AB143" s="7" t="n">
        <v>29</v>
      </c>
      <c r="AC143" s="7" t="inlineStr">
        <is>
          <t>2026-10-10</t>
        </is>
      </c>
      <c r="AD143" s="7" t="inlineStr">
        <is>
          <t>com.logistics.rider.foodora</t>
        </is>
      </c>
    </row>
    <row r="144">
      <c r="T144" s="4" t="n"/>
      <c r="U144" s="4" t="n"/>
      <c r="V144" s="4" t="n"/>
      <c r="X144" s="4" t="n">
        <v>1</v>
      </c>
      <c r="Y144" s="4" t="inlineStr">
        <is>
          <t>2026-10-07</t>
        </is>
      </c>
      <c r="Z144" s="4" t="inlineStr">
        <is>
          <t>com.logistics.rider.efood</t>
        </is>
      </c>
      <c r="AB144" s="4" t="n">
        <v>130</v>
      </c>
      <c r="AC144" s="4" t="inlineStr">
        <is>
          <t>2026-10-10</t>
        </is>
      </c>
      <c r="AD144" s="4" t="inlineStr">
        <is>
          <t>com.logistics.rider.talabat</t>
        </is>
      </c>
    </row>
    <row r="145">
      <c r="T145" s="7" t="n"/>
      <c r="U145" s="7" t="n"/>
      <c r="V145" s="7" t="n"/>
      <c r="X145" s="7" t="n">
        <v>6</v>
      </c>
      <c r="Y145" s="7" t="inlineStr">
        <is>
          <t>2026-10-08</t>
        </is>
      </c>
      <c r="Z145" s="7" t="inlineStr">
        <is>
          <t>com.logistics.rider.efood</t>
        </is>
      </c>
      <c r="AB145" s="7" t="n">
        <v>8</v>
      </c>
      <c r="AC145" s="7" t="inlineStr">
        <is>
          <t>2026-10-10</t>
        </is>
      </c>
      <c r="AD145" s="7" t="inlineStr">
        <is>
          <t>com.logistics.rider.talabat</t>
        </is>
      </c>
    </row>
    <row r="146">
      <c r="T146" s="4" t="n"/>
      <c r="U146" s="4" t="n"/>
      <c r="V146" s="4" t="n"/>
      <c r="X146" s="4" t="n">
        <v>5</v>
      </c>
      <c r="Y146" s="4" t="inlineStr">
        <is>
          <t>2026-10-09</t>
        </is>
      </c>
      <c r="Z146" s="4" t="inlineStr">
        <is>
          <t>com.logistics.rider.efood</t>
        </is>
      </c>
      <c r="AB146" s="4" t="n">
        <v>75</v>
      </c>
      <c r="AC146" s="4" t="inlineStr">
        <is>
          <t>2026-10-10</t>
        </is>
      </c>
      <c r="AD146" s="4" t="inlineStr">
        <is>
          <t>com.logistics.rider.pedidosya</t>
        </is>
      </c>
    </row>
    <row r="147">
      <c r="T147" s="7" t="n"/>
      <c r="U147" s="7" t="n"/>
      <c r="V147" s="7" t="n"/>
      <c r="X147" s="7" t="n">
        <v>4</v>
      </c>
      <c r="Y147" s="7" t="inlineStr">
        <is>
          <t>2026-10-10</t>
        </is>
      </c>
      <c r="Z147" s="7" t="inlineStr">
        <is>
          <t>com.logistics.rider.efood</t>
        </is>
      </c>
      <c r="AB147" s="7" t="n">
        <v>3</v>
      </c>
      <c r="AC147" s="7" t="inlineStr">
        <is>
          <t>2026-10-10</t>
        </is>
      </c>
      <c r="AD147" s="7" t="inlineStr">
        <is>
          <t>com.logistics.rider.pedidosya</t>
        </is>
      </c>
    </row>
    <row r="148">
      <c r="T148" s="4" t="n"/>
      <c r="U148" s="4" t="n"/>
      <c r="V148" s="4" t="n"/>
      <c r="X148" s="4" t="n">
        <v>1</v>
      </c>
      <c r="Y148" s="4" t="inlineStr">
        <is>
          <t>2026-10-11</t>
        </is>
      </c>
      <c r="Z148" s="4" t="inlineStr">
        <is>
          <t>com.logistics.rider.efood</t>
        </is>
      </c>
      <c r="AB148" s="4" t="n">
        <v>48</v>
      </c>
      <c r="AC148" s="4" t="inlineStr">
        <is>
          <t>2026-10-10</t>
        </is>
      </c>
      <c r="AD148" s="4" t="inlineStr">
        <is>
          <t>com.logistics.rider.hungerstation</t>
        </is>
      </c>
    </row>
    <row r="149">
      <c r="T149" s="7" t="n"/>
      <c r="U149" s="7" t="n"/>
      <c r="V149" s="7" t="n"/>
      <c r="X149" s="7" t="n">
        <v>6</v>
      </c>
      <c r="Y149" s="7" t="inlineStr">
        <is>
          <t>2026-10-11</t>
        </is>
      </c>
      <c r="Z149" s="7" t="inlineStr">
        <is>
          <t>com.logistics.rider.efood</t>
        </is>
      </c>
      <c r="AB149" s="7" t="n">
        <v>7</v>
      </c>
      <c r="AC149" s="7" t="inlineStr">
        <is>
          <t>2026-10-10</t>
        </is>
      </c>
      <c r="AD149" s="7" t="inlineStr">
        <is>
          <t>com.logistics.rider.hungerstation</t>
        </is>
      </c>
    </row>
    <row r="150">
      <c r="T150" s="4" t="n"/>
      <c r="U150" s="4" t="n"/>
      <c r="V150" s="4" t="n"/>
      <c r="X150" s="4" t="n">
        <v>10</v>
      </c>
      <c r="Y150" s="4" t="inlineStr">
        <is>
          <t>2026-10-12</t>
        </is>
      </c>
      <c r="Z150" s="4" t="inlineStr">
        <is>
          <t>com.logistics.rider.efood</t>
        </is>
      </c>
      <c r="AB150" s="4" t="n">
        <v>8</v>
      </c>
      <c r="AC150" s="4" t="inlineStr">
        <is>
          <t>2026-10-10</t>
        </is>
      </c>
      <c r="AD150" s="4" t="inlineStr">
        <is>
          <t>com.logistics.rider.glovo</t>
        </is>
      </c>
    </row>
    <row r="151">
      <c r="T151" s="7" t="n"/>
      <c r="U151" s="7" t="n"/>
      <c r="V151" s="7" t="n"/>
      <c r="X151" s="7" t="n">
        <v>4</v>
      </c>
      <c r="Y151" s="7" t="inlineStr">
        <is>
          <t>2026-10-01</t>
        </is>
      </c>
      <c r="Z151" s="7" t="inlineStr">
        <is>
          <t>com.logistics.rider.foody</t>
        </is>
      </c>
      <c r="AB151" s="7" t="n">
        <v>164</v>
      </c>
      <c r="AC151" s="7" t="inlineStr">
        <is>
          <t>2026-10-10</t>
        </is>
      </c>
      <c r="AD151" s="7" t="inlineStr">
        <is>
          <t>com.logistics.rider.glovo</t>
        </is>
      </c>
    </row>
    <row r="152">
      <c r="T152" s="4" t="n"/>
      <c r="U152" s="4" t="n"/>
      <c r="V152" s="4" t="n"/>
      <c r="X152" s="4" t="n">
        <v>1</v>
      </c>
      <c r="Y152" s="4" t="inlineStr">
        <is>
          <t>2026-10-04</t>
        </is>
      </c>
      <c r="Z152" s="4" t="inlineStr">
        <is>
          <t>com.logistics.rider.foody</t>
        </is>
      </c>
      <c r="AB152" s="4" t="n">
        <v>11</v>
      </c>
      <c r="AC152" s="4" t="inlineStr">
        <is>
          <t>2026-10-10</t>
        </is>
      </c>
      <c r="AD152" s="4" t="inlineStr">
        <is>
          <t>com.logistics.rider.efood</t>
        </is>
      </c>
    </row>
    <row r="153">
      <c r="T153" s="7" t="n"/>
      <c r="U153" s="7" t="n"/>
      <c r="V153" s="7" t="n"/>
      <c r="X153" s="7" t="n">
        <v>1</v>
      </c>
      <c r="Y153" s="7" t="inlineStr">
        <is>
          <t>2026-10-05</t>
        </is>
      </c>
      <c r="Z153" s="7" t="inlineStr">
        <is>
          <t>com.logistics.rider.foody</t>
        </is>
      </c>
      <c r="AB153" s="7" t="n">
        <v>1</v>
      </c>
      <c r="AC153" s="7" t="inlineStr">
        <is>
          <t>2026-10-10</t>
        </is>
      </c>
      <c r="AD153" s="7" t="inlineStr">
        <is>
          <t>com.logistics.rider.foody</t>
        </is>
      </c>
    </row>
    <row r="154">
      <c r="T154" s="4" t="n"/>
      <c r="U154" s="4" t="n"/>
      <c r="V154" s="4" t="n"/>
      <c r="X154" s="4" t="n">
        <v>1</v>
      </c>
      <c r="Y154" s="4" t="inlineStr">
        <is>
          <t>2026-10-07</t>
        </is>
      </c>
      <c r="Z154" s="4" t="inlineStr">
        <is>
          <t>com.logistics.rider.foody</t>
        </is>
      </c>
      <c r="AB154" s="4" t="n">
        <v>25</v>
      </c>
      <c r="AC154" s="4" t="inlineStr">
        <is>
          <t>2026-10-11</t>
        </is>
      </c>
      <c r="AD154" s="4" t="inlineStr">
        <is>
          <t>com.logistics.rider.foodpanda</t>
        </is>
      </c>
    </row>
    <row r="155">
      <c r="T155" s="7" t="n"/>
      <c r="U155" s="7" t="n"/>
      <c r="V155" s="7" t="n"/>
      <c r="X155" s="7" t="n">
        <v>1</v>
      </c>
      <c r="Y155" s="7" t="inlineStr">
        <is>
          <t>2026-10-09</t>
        </is>
      </c>
      <c r="Z155" s="7" t="inlineStr">
        <is>
          <t>com.logistics.rider.foody</t>
        </is>
      </c>
      <c r="AB155" s="7" t="n">
        <v>346</v>
      </c>
      <c r="AC155" s="7" t="inlineStr">
        <is>
          <t>2026-10-11</t>
        </is>
      </c>
      <c r="AD155" s="7" t="inlineStr">
        <is>
          <t>com.logistics.rider.foodpanda</t>
        </is>
      </c>
    </row>
    <row r="156">
      <c r="T156" s="4" t="n"/>
      <c r="U156" s="4" t="n"/>
      <c r="V156" s="4" t="n"/>
      <c r="X156" s="4" t="n">
        <v>1</v>
      </c>
      <c r="Y156" s="4" t="inlineStr">
        <is>
          <t>2026-10-11</t>
        </is>
      </c>
      <c r="Z156" s="4" t="inlineStr">
        <is>
          <t>com.logistics.rider.foody</t>
        </is>
      </c>
      <c r="AB156" s="4" t="n">
        <v>1</v>
      </c>
      <c r="AC156" s="4" t="inlineStr">
        <is>
          <t>2026-10-11</t>
        </is>
      </c>
      <c r="AD156" s="4" t="inlineStr">
        <is>
          <t>com.logistics.rider.foodora</t>
        </is>
      </c>
    </row>
    <row r="157">
      <c r="T157" s="7" t="n"/>
      <c r="U157" s="7" t="n"/>
      <c r="V157" s="7" t="n"/>
      <c r="X157" s="7" t="n"/>
      <c r="Y157" s="7" t="n"/>
      <c r="Z157" s="7" t="n"/>
      <c r="AB157" s="7" t="n">
        <v>29</v>
      </c>
      <c r="AC157" s="7" t="inlineStr">
        <is>
          <t>2026-10-11</t>
        </is>
      </c>
      <c r="AD157" s="7" t="inlineStr">
        <is>
          <t>com.logistics.rider.foodora</t>
        </is>
      </c>
    </row>
    <row r="158">
      <c r="T158" s="4" t="n"/>
      <c r="U158" s="4" t="n"/>
      <c r="V158" s="4" t="n"/>
      <c r="X158" s="4" t="n"/>
      <c r="Y158" s="4" t="n"/>
      <c r="Z158" s="4" t="n"/>
      <c r="AB158" s="4" t="n">
        <v>115</v>
      </c>
      <c r="AC158" s="4" t="inlineStr">
        <is>
          <t>2026-10-11</t>
        </is>
      </c>
      <c r="AD158" s="4" t="inlineStr">
        <is>
          <t>com.logistics.rider.talabat</t>
        </is>
      </c>
    </row>
    <row r="159">
      <c r="T159" s="7" t="n"/>
      <c r="U159" s="7" t="n"/>
      <c r="V159" s="7" t="n"/>
      <c r="X159" s="7" t="n"/>
      <c r="Y159" s="7" t="n"/>
      <c r="Z159" s="7" t="n"/>
      <c r="AB159" s="7" t="n">
        <v>3</v>
      </c>
      <c r="AC159" s="7" t="inlineStr">
        <is>
          <t>2026-10-11</t>
        </is>
      </c>
      <c r="AD159" s="7" t="inlineStr">
        <is>
          <t>com.logistics.rider.talabat</t>
        </is>
      </c>
    </row>
    <row r="160">
      <c r="T160" s="4" t="n"/>
      <c r="U160" s="4" t="n"/>
      <c r="V160" s="4" t="n"/>
      <c r="X160" s="4" t="n"/>
      <c r="Y160" s="4" t="n"/>
      <c r="Z160" s="4" t="n"/>
      <c r="AB160" s="4" t="n">
        <v>60</v>
      </c>
      <c r="AC160" s="4" t="inlineStr">
        <is>
          <t>2026-10-11</t>
        </is>
      </c>
      <c r="AD160" s="4" t="inlineStr">
        <is>
          <t>com.logistics.rider.pedidosya</t>
        </is>
      </c>
    </row>
    <row r="161">
      <c r="T161" s="7" t="n"/>
      <c r="U161" s="7" t="n"/>
      <c r="V161" s="7" t="n"/>
      <c r="X161" s="7" t="n"/>
      <c r="Y161" s="7" t="n"/>
      <c r="Z161" s="7" t="n"/>
      <c r="AB161" s="7" t="n">
        <v>2</v>
      </c>
      <c r="AC161" s="7" t="inlineStr">
        <is>
          <t>2026-10-11</t>
        </is>
      </c>
      <c r="AD161" s="7" t="inlineStr">
        <is>
          <t>com.logistics.rider.pedidosya</t>
        </is>
      </c>
    </row>
    <row r="162">
      <c r="T162" s="4" t="n"/>
      <c r="U162" s="4" t="n"/>
      <c r="V162" s="4" t="n"/>
      <c r="X162" s="4" t="n"/>
      <c r="Y162" s="4" t="n"/>
      <c r="Z162" s="4" t="n"/>
      <c r="AB162" s="4" t="n">
        <v>49</v>
      </c>
      <c r="AC162" s="4" t="inlineStr">
        <is>
          <t>2026-10-11</t>
        </is>
      </c>
      <c r="AD162" s="4" t="inlineStr">
        <is>
          <t>com.logistics.rider.hungerstation</t>
        </is>
      </c>
    </row>
    <row r="163">
      <c r="T163" s="7" t="n"/>
      <c r="U163" s="7" t="n"/>
      <c r="V163" s="7" t="n"/>
      <c r="X163" s="7" t="n"/>
      <c r="Y163" s="7" t="n"/>
      <c r="Z163" s="7" t="n"/>
      <c r="AB163" s="7" t="n">
        <v>8</v>
      </c>
      <c r="AC163" s="7" t="inlineStr">
        <is>
          <t>2026-10-11</t>
        </is>
      </c>
      <c r="AD163" s="7" t="inlineStr">
        <is>
          <t>com.logistics.rider.hungerstation</t>
        </is>
      </c>
    </row>
    <row r="164">
      <c r="T164" s="4" t="n"/>
      <c r="U164" s="4" t="n"/>
      <c r="V164" s="4" t="n"/>
      <c r="X164" s="4" t="n"/>
      <c r="Y164" s="4" t="n"/>
      <c r="Z164" s="4" t="n"/>
      <c r="AB164" s="4" t="n">
        <v>168</v>
      </c>
      <c r="AC164" s="4" t="inlineStr">
        <is>
          <t>2026-10-11</t>
        </is>
      </c>
      <c r="AD164" s="4" t="inlineStr">
        <is>
          <t>com.logistics.rider.glovo</t>
        </is>
      </c>
    </row>
    <row r="165">
      <c r="T165" s="7" t="n"/>
      <c r="U165" s="7" t="n"/>
      <c r="V165" s="7" t="n"/>
      <c r="X165" s="7" t="n"/>
      <c r="Y165" s="7" t="n"/>
      <c r="Z165" s="7" t="n"/>
      <c r="AB165" s="7" t="n">
        <v>9</v>
      </c>
      <c r="AC165" s="7" t="inlineStr">
        <is>
          <t>2026-10-11</t>
        </is>
      </c>
      <c r="AD165" s="7" t="inlineStr">
        <is>
          <t>com.logistics.rider.glovo</t>
        </is>
      </c>
    </row>
    <row r="166">
      <c r="T166" s="4" t="n"/>
      <c r="U166" s="4" t="n"/>
      <c r="V166" s="4" t="n"/>
      <c r="X166" s="4" t="n"/>
      <c r="Y166" s="4" t="n"/>
      <c r="Z166" s="4" t="n"/>
      <c r="AB166" s="4" t="n">
        <v>9</v>
      </c>
      <c r="AC166" s="4" t="inlineStr">
        <is>
          <t>2026-10-11</t>
        </is>
      </c>
      <c r="AD166" s="4" t="inlineStr">
        <is>
          <t>com.logistics.rider.efood</t>
        </is>
      </c>
    </row>
    <row r="167">
      <c r="T167" s="7" t="n"/>
      <c r="U167" s="7" t="n"/>
      <c r="V167" s="7" t="n"/>
      <c r="X167" s="7" t="n"/>
      <c r="Y167" s="7" t="n"/>
      <c r="Z167" s="7" t="n"/>
      <c r="AB167" s="7" t="n">
        <v>1</v>
      </c>
      <c r="AC167" s="7" t="inlineStr">
        <is>
          <t>2026-10-11</t>
        </is>
      </c>
      <c r="AD167" s="7" t="inlineStr">
        <is>
          <t>com.logistics.rider.foody</t>
        </is>
      </c>
    </row>
    <row r="168">
      <c r="T168" s="4" t="n"/>
      <c r="U168" s="4" t="n"/>
      <c r="V168" s="4" t="n"/>
      <c r="X168" s="4" t="n"/>
      <c r="Y168" s="4" t="n"/>
      <c r="Z168" s="4" t="n"/>
      <c r="AB168" s="4" t="n">
        <v>304</v>
      </c>
      <c r="AC168" s="4" t="inlineStr">
        <is>
          <t>2026-10-12</t>
        </is>
      </c>
      <c r="AD168" s="4" t="inlineStr">
        <is>
          <t>com.logistics.rider.foodpanda</t>
        </is>
      </c>
    </row>
    <row r="169">
      <c r="T169" s="7" t="n"/>
      <c r="U169" s="7" t="n"/>
      <c r="V169" s="7" t="n"/>
      <c r="X169" s="7" t="n"/>
      <c r="Y169" s="7" t="n"/>
      <c r="Z169" s="7" t="n"/>
      <c r="AB169" s="7" t="n">
        <v>18</v>
      </c>
      <c r="AC169" s="7" t="inlineStr">
        <is>
          <t>2026-10-12</t>
        </is>
      </c>
      <c r="AD169" s="7" t="inlineStr">
        <is>
          <t>com.logistics.rider.foodpanda</t>
        </is>
      </c>
    </row>
    <row r="170">
      <c r="T170" s="4" t="n"/>
      <c r="U170" s="4" t="n"/>
      <c r="V170" s="4" t="n"/>
      <c r="X170" s="4" t="n"/>
      <c r="Y170" s="4" t="n"/>
      <c r="Z170" s="4" t="n"/>
      <c r="AB170" s="4" t="n">
        <v>31</v>
      </c>
      <c r="AC170" s="4" t="inlineStr">
        <is>
          <t>2026-10-12</t>
        </is>
      </c>
      <c r="AD170" s="4" t="inlineStr">
        <is>
          <t>com.logistics.rider.foodora</t>
        </is>
      </c>
    </row>
    <row r="171">
      <c r="T171" s="7" t="n"/>
      <c r="U171" s="7" t="n"/>
      <c r="V171" s="7" t="n"/>
      <c r="X171" s="7" t="n"/>
      <c r="Y171" s="7" t="n"/>
      <c r="Z171" s="7" t="n"/>
      <c r="AB171" s="7" t="n">
        <v>4</v>
      </c>
      <c r="AC171" s="7" t="inlineStr">
        <is>
          <t>2026-10-12</t>
        </is>
      </c>
      <c r="AD171" s="7" t="inlineStr">
        <is>
          <t>com.logistics.rider.talabat</t>
        </is>
      </c>
    </row>
    <row r="172">
      <c r="T172" s="4" t="n"/>
      <c r="U172" s="4" t="n"/>
      <c r="V172" s="4" t="n"/>
      <c r="X172" s="4" t="n"/>
      <c r="Y172" s="4" t="n"/>
      <c r="Z172" s="4" t="n"/>
      <c r="AB172" s="4" t="n">
        <v>136</v>
      </c>
      <c r="AC172" s="4" t="inlineStr">
        <is>
          <t>2026-10-12</t>
        </is>
      </c>
      <c r="AD172" s="4" t="inlineStr">
        <is>
          <t>com.logistics.rider.talabat</t>
        </is>
      </c>
    </row>
    <row r="173">
      <c r="T173" s="7" t="n"/>
      <c r="U173" s="7" t="n"/>
      <c r="V173" s="7" t="n"/>
      <c r="X173" s="7" t="n"/>
      <c r="Y173" s="7" t="n"/>
      <c r="Z173" s="7" t="n"/>
      <c r="AB173" s="7" t="n">
        <v>1</v>
      </c>
      <c r="AC173" s="7" t="inlineStr">
        <is>
          <t>2026-10-12</t>
        </is>
      </c>
      <c r="AD173" s="7" t="inlineStr">
        <is>
          <t>com.logistics.rider.pedidosya</t>
        </is>
      </c>
    </row>
    <row r="174">
      <c r="T174" s="4" t="n"/>
      <c r="U174" s="4" t="n"/>
      <c r="V174" s="4" t="n"/>
      <c r="X174" s="4" t="n"/>
      <c r="Y174" s="4" t="n"/>
      <c r="Z174" s="4" t="n"/>
      <c r="AB174" s="4" t="n">
        <v>59</v>
      </c>
      <c r="AC174" s="4" t="inlineStr">
        <is>
          <t>2026-10-12</t>
        </is>
      </c>
      <c r="AD174" s="4" t="inlineStr">
        <is>
          <t>com.logistics.rider.pedidosya</t>
        </is>
      </c>
    </row>
    <row r="175">
      <c r="T175" s="7" t="n"/>
      <c r="U175" s="7" t="n"/>
      <c r="V175" s="7" t="n"/>
      <c r="X175" s="7" t="n"/>
      <c r="Y175" s="7" t="n"/>
      <c r="Z175" s="7" t="n"/>
      <c r="AB175" s="7" t="n">
        <v>47</v>
      </c>
      <c r="AC175" s="7" t="inlineStr">
        <is>
          <t>2026-10-12</t>
        </is>
      </c>
      <c r="AD175" s="7" t="inlineStr">
        <is>
          <t>com.logistics.rider.hungerstation</t>
        </is>
      </c>
    </row>
    <row r="176">
      <c r="T176" s="4" t="n"/>
      <c r="U176" s="4" t="n"/>
      <c r="V176" s="4" t="n"/>
      <c r="X176" s="4" t="n"/>
      <c r="Y176" s="4" t="n"/>
      <c r="Z176" s="4" t="n"/>
      <c r="AB176" s="4" t="n">
        <v>8</v>
      </c>
      <c r="AC176" s="4" t="inlineStr">
        <is>
          <t>2026-10-12</t>
        </is>
      </c>
      <c r="AD176" s="4" t="inlineStr">
        <is>
          <t>com.logistics.rider.hungerstation</t>
        </is>
      </c>
    </row>
    <row r="177">
      <c r="T177" s="7" t="n"/>
      <c r="U177" s="7" t="n"/>
      <c r="V177" s="7" t="n"/>
      <c r="X177" s="7" t="n"/>
      <c r="Y177" s="7" t="n"/>
      <c r="Z177" s="7" t="n"/>
      <c r="AB177" s="7" t="n">
        <v>155</v>
      </c>
      <c r="AC177" s="7" t="inlineStr">
        <is>
          <t>2026-10-12</t>
        </is>
      </c>
      <c r="AD177" s="7" t="inlineStr">
        <is>
          <t>com.logistics.rider.glovo</t>
        </is>
      </c>
    </row>
    <row r="178">
      <c r="T178" s="4" t="n"/>
      <c r="U178" s="4" t="n"/>
      <c r="V178" s="4" t="n"/>
      <c r="X178" s="4" t="n"/>
      <c r="Y178" s="4" t="n"/>
      <c r="Z178" s="4" t="n"/>
      <c r="AB178" s="4" t="n">
        <v>5</v>
      </c>
      <c r="AC178" s="4" t="inlineStr">
        <is>
          <t>2026-10-12</t>
        </is>
      </c>
      <c r="AD178" s="4" t="inlineStr">
        <is>
          <t>com.logistics.rider.glovo</t>
        </is>
      </c>
    </row>
    <row r="179">
      <c r="T179" s="7" t="n"/>
      <c r="U179" s="7" t="n"/>
      <c r="V179" s="7" t="n"/>
      <c r="X179" s="7" t="n"/>
      <c r="Y179" s="7" t="n"/>
      <c r="Z179" s="7" t="n"/>
      <c r="AB179" s="7" t="n">
        <v>1</v>
      </c>
      <c r="AC179" s="7" t="inlineStr">
        <is>
          <t>2026-10-12</t>
        </is>
      </c>
      <c r="AD179" s="7" t="inlineStr">
        <is>
          <t>com.logistics.rider.woowabros</t>
        </is>
      </c>
    </row>
    <row r="180">
      <c r="T180" s="4" t="n"/>
      <c r="U180" s="4" t="n"/>
      <c r="V180" s="4" t="n"/>
      <c r="X180" s="4" t="n"/>
      <c r="Y180" s="4" t="n"/>
      <c r="Z180" s="4" t="n"/>
      <c r="AB180" s="4" t="n">
        <v>12</v>
      </c>
      <c r="AC180" s="4" t="inlineStr">
        <is>
          <t>2026-10-12</t>
        </is>
      </c>
      <c r="AD180" s="4" t="inlineStr">
        <is>
          <t>com.logistics.rider.efood</t>
        </is>
      </c>
    </row>
    <row r="181">
      <c r="T181" s="7" t="n"/>
      <c r="U181" s="7" t="n"/>
      <c r="V181" s="7" t="n"/>
      <c r="X181" s="7" t="n"/>
      <c r="Y181" s="7" t="n"/>
      <c r="Z181" s="7" t="n"/>
      <c r="AB181" s="7" t="n">
        <v>1</v>
      </c>
      <c r="AC181" s="7" t="inlineStr">
        <is>
          <t>2026-10-12</t>
        </is>
      </c>
      <c r="AD181" s="7" t="inlineStr">
        <is>
          <t>com.logistics.rider.foody</t>
        </is>
      </c>
    </row>
  </sheetData>
  <dataValidations count="1">
    <dataValidation sqref="B10" showDropDown="0" showInputMessage="0" showErrorMessage="0" allowBlank="0" type="list">
      <formula1>"foodora,woowa,foodpanda,talabat,efood,glovo,hungerstation,yemek,foody,pedidosya"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0" customWidth="1" min="4" max="4"/>
    <col width="28" customWidth="1" min="5" max="5"/>
    <col width="12" customWidth="1" min="7" max="7"/>
    <col width="24" customWidth="1" min="11" max="11"/>
    <col width="14" customWidth="1" min="12" max="12"/>
    <col width="30" customWidth="1" min="14" max="14"/>
    <col width="22" customWidth="1" min="20" max="20"/>
    <col width="22" customWidth="1" min="21" max="21"/>
    <col width="22" customWidth="1" min="22" max="22"/>
    <col width="4" customWidth="1" min="23" max="23"/>
    <col width="22" customWidth="1" min="24" max="24"/>
    <col width="22" customWidth="1" min="25" max="25"/>
    <col width="22" customWidth="1" min="26" max="26"/>
    <col width="4" customWidth="1" min="27" max="27"/>
    <col width="22" customWidth="1" min="28" max="28"/>
    <col width="22" customWidth="1" min="29" max="29"/>
    <col width="22" customWidth="1" min="30" max="30"/>
  </cols>
  <sheetData>
    <row r="1" ht="45" customHeight="1">
      <c r="A1" s="30" t="inlineStr">
        <is>
          <t>CFU part in AQS</t>
        </is>
      </c>
      <c r="B1" s="31" t="n">
        <v>60</v>
      </c>
      <c r="C1" s="32" t="inlineStr">
        <is>
          <t>Date</t>
        </is>
      </c>
      <c r="D1" s="32" t="inlineStr">
        <is>
          <t>Total users count (ios_User_Count)</t>
        </is>
      </c>
      <c r="E1" s="32" t="inlineStr">
        <is>
          <t>Crashed users count (Query)</t>
        </is>
      </c>
      <c r="G1" s="32" t="inlineStr">
        <is>
          <t>CFU %</t>
        </is>
      </c>
      <c r="K1" s="32" t="inlineStr">
        <is>
          <t>Hang user count (Query)</t>
        </is>
      </c>
      <c r="L1" s="32" t="inlineStr">
        <is>
          <t>Hang free %</t>
        </is>
      </c>
      <c r="N1" s="32" t="inlineStr">
        <is>
          <t>Projected AQS including hangs</t>
        </is>
      </c>
      <c r="T1" s="33" t="inlineStr">
        <is>
          <t>dt</t>
        </is>
      </c>
      <c r="U1" s="33" t="inlineStr">
        <is>
          <t>appId</t>
        </is>
      </c>
      <c r="V1" s="33" t="inlineStr">
        <is>
          <t>user_count</t>
        </is>
      </c>
      <c r="X1" s="34" t="inlineStr">
        <is>
          <t>CRASH_USERS</t>
        </is>
      </c>
      <c r="Y1" s="34" t="inlineStr">
        <is>
          <t>day</t>
        </is>
      </c>
      <c r="Z1" s="34" t="inlineStr">
        <is>
          <t>Brand</t>
        </is>
      </c>
      <c r="AB1" s="35" t="inlineStr">
        <is>
          <t>HANG_USERS</t>
        </is>
      </c>
      <c r="AC1" s="35" t="inlineStr">
        <is>
          <t>day</t>
        </is>
      </c>
      <c r="AD1" s="35" t="inlineStr">
        <is>
          <t>Brand</t>
        </is>
      </c>
    </row>
    <row r="2">
      <c r="A2" s="30" t="inlineStr">
        <is>
          <t>base AQS score</t>
        </is>
      </c>
      <c r="B2" s="31" t="n">
        <v>32.65</v>
      </c>
      <c r="C2" t="inlineStr">
        <is>
          <t>2026-10-01</t>
        </is>
      </c>
      <c r="D2">
        <f>SUMIFS(V:V,U:U,"*"&amp;$B$10&amp;"*",T:T,C2)</f>
        <v/>
      </c>
      <c r="E2">
        <f>SUMIFS(X:X,Z:Z,"*"&amp;$B$10&amp;"*",Y:Y,C2)</f>
        <v/>
      </c>
      <c r="G2">
        <f>ROUND(MAX(0,MIN(100,(1-E2/IF(D2&gt;0,D2,SUMIFS(Consolidation!$M:$M,Consolidation!$A:$A,"*"&amp;$B$10&amp;"*")/31))*100)),2)</f>
        <v/>
      </c>
      <c r="H2">
        <f>MIN(1,(G2-$B$3)/($B$4-$B$3))*$B$1</f>
        <v/>
      </c>
      <c r="K2">
        <f>SUMIFS(AB:AB,AD:AD,"*"&amp;$B$10&amp;"*",AC:AC,C2)</f>
        <v/>
      </c>
      <c r="L2">
        <f>ROUND(MAX(0,MIN(100,100*(1-K2/IF(D2&gt;0,D2,SUMIFS(Consolidation!$M:$M,Consolidation!$A:$A,"*"&amp;$B$10&amp;"*")/31)))),2)</f>
        <v/>
      </c>
      <c r="M2">
        <f>MAX(0,(L2-$B$6)/($B$7-$B$6)*$B$8)</f>
        <v/>
      </c>
      <c r="N2">
        <f>$B$2+H2+M2</f>
        <v/>
      </c>
      <c r="X2" t="n">
        <v>3</v>
      </c>
      <c r="Y2" t="inlineStr">
        <is>
          <t>2026-10-01</t>
        </is>
      </c>
      <c r="Z2" t="inlineStr">
        <is>
          <t>com.logistics.rider.foodpanda</t>
        </is>
      </c>
      <c r="AB2" t="n">
        <v>16</v>
      </c>
      <c r="AC2" t="inlineStr">
        <is>
          <t>2026-10-01</t>
        </is>
      </c>
      <c r="AD2" t="inlineStr">
        <is>
          <t>com.logistics.rider.foodpanda</t>
        </is>
      </c>
    </row>
    <row r="3">
      <c r="A3" s="30" t="inlineStr">
        <is>
          <t>CFU minimum</t>
        </is>
      </c>
      <c r="B3" s="31" t="n">
        <v>99.5</v>
      </c>
      <c r="C3" t="inlineStr">
        <is>
          <t>2026-10-02</t>
        </is>
      </c>
      <c r="D3">
        <f>SUMIFS(V:V,U:U,"*"&amp;$B$10&amp;"*",T:T,C3)</f>
        <v/>
      </c>
      <c r="E3">
        <f>SUMIFS(X:X,Z:Z,"*"&amp;$B$10&amp;"*",Y:Y,C3)</f>
        <v/>
      </c>
      <c r="G3">
        <f>ROUND(MAX(0,MIN(100,(1-E3/IF(D3&gt;0,D3,SUMIFS(Consolidation!$M:$M,Consolidation!$A:$A,"*"&amp;$B$10&amp;"*")/31))*100)),2)</f>
        <v/>
      </c>
      <c r="H3">
        <f>MIN(1,(G3-$B$3)/($B$4-$B$3))*$B$1</f>
        <v/>
      </c>
      <c r="K3">
        <f>SUMIFS(AB:AB,AD:AD,"*"&amp;$B$10&amp;"*",AC:AC,C3)</f>
        <v/>
      </c>
      <c r="L3">
        <f>ROUND(MAX(0,MIN(100,100*(1-K3/IF(D3&gt;0,D3,SUMIFS(Consolidation!$M:$M,Consolidation!$A:$A,"*"&amp;$B$10&amp;"*")/31)))),2)</f>
        <v/>
      </c>
      <c r="M3">
        <f>MAX(0,(L3-$B$6)/($B$7-$B$6)*$B$8)</f>
        <v/>
      </c>
      <c r="N3">
        <f>$B$2+H3+M3</f>
        <v/>
      </c>
      <c r="X3" t="n">
        <v>15</v>
      </c>
      <c r="Y3" t="inlineStr">
        <is>
          <t>2026-10-02</t>
        </is>
      </c>
      <c r="Z3" t="inlineStr">
        <is>
          <t>com.logistics.rider.foodpanda</t>
        </is>
      </c>
      <c r="AB3" t="n">
        <v>6</v>
      </c>
      <c r="AC3" t="inlineStr">
        <is>
          <t>2026-10-01</t>
        </is>
      </c>
      <c r="AD3" t="inlineStr">
        <is>
          <t>com.logistics.rider.foodora</t>
        </is>
      </c>
    </row>
    <row r="4">
      <c r="A4" s="30" t="inlineStr">
        <is>
          <t>CFU maximum</t>
        </is>
      </c>
      <c r="B4" s="31" t="n">
        <v>99.90000000000001</v>
      </c>
      <c r="C4" t="inlineStr">
        <is>
          <t>2026-10-03</t>
        </is>
      </c>
      <c r="D4">
        <f>SUMIFS(V:V,U:U,"*"&amp;$B$10&amp;"*",T:T,C4)</f>
        <v/>
      </c>
      <c r="E4">
        <f>SUMIFS(X:X,Z:Z,"*"&amp;$B$10&amp;"*",Y:Y,C4)</f>
        <v/>
      </c>
      <c r="G4">
        <f>ROUND(MAX(0,MIN(100,(1-E4/IF(D4&gt;0,D4,SUMIFS(Consolidation!$M:$M,Consolidation!$A:$A,"*"&amp;$B$10&amp;"*")/31))*100)),2)</f>
        <v/>
      </c>
      <c r="H4">
        <f>MIN(1,(G4-$B$3)/($B$4-$B$3))*$B$1</f>
        <v/>
      </c>
      <c r="K4">
        <f>SUMIFS(AB:AB,AD:AD,"*"&amp;$B$10&amp;"*",AC:AC,C4)</f>
        <v/>
      </c>
      <c r="L4">
        <f>ROUND(MAX(0,MIN(100,100*(1-K4/IF(D4&gt;0,D4,SUMIFS(Consolidation!$M:$M,Consolidation!$A:$A,"*"&amp;$B$10&amp;"*")/31)))),2)</f>
        <v/>
      </c>
      <c r="M4">
        <f>MAX(0,(L4-$B$6)/($B$7-$B$6)*$B$8)</f>
        <v/>
      </c>
      <c r="N4">
        <f>$B$2+H4+M4</f>
        <v/>
      </c>
      <c r="X4" t="n">
        <v>29</v>
      </c>
      <c r="Y4" t="inlineStr">
        <is>
          <t>2026-10-03</t>
        </is>
      </c>
      <c r="Z4" t="inlineStr">
        <is>
          <t>com.logistics.rider.foodpanda</t>
        </is>
      </c>
      <c r="AB4" t="n">
        <v>9</v>
      </c>
      <c r="AC4" t="inlineStr">
        <is>
          <t>2026-10-01</t>
        </is>
      </c>
      <c r="AD4" t="inlineStr">
        <is>
          <t>com.logistics.rider.talabat</t>
        </is>
      </c>
    </row>
    <row r="5">
      <c r="C5" t="inlineStr">
        <is>
          <t>2026-10-04</t>
        </is>
      </c>
      <c r="D5">
        <f>SUMIFS(V:V,U:U,"*"&amp;$B$10&amp;"*",T:T,C5)</f>
        <v/>
      </c>
      <c r="E5">
        <f>SUMIFS(X:X,Z:Z,"*"&amp;$B$10&amp;"*",Y:Y,C5)</f>
        <v/>
      </c>
      <c r="G5">
        <f>ROUND(MAX(0,MIN(100,(1-E5/IF(D5&gt;0,D5,SUMIFS(Consolidation!$M:$M,Consolidation!$A:$A,"*"&amp;$B$10&amp;"*")/31))*100)),2)</f>
        <v/>
      </c>
      <c r="H5">
        <f>MIN(1,(G5-$B$3)/($B$4-$B$3))*$B$1</f>
        <v/>
      </c>
      <c r="K5">
        <f>SUMIFS(AB:AB,AD:AD,"*"&amp;$B$10&amp;"*",AC:AC,C5)</f>
        <v/>
      </c>
      <c r="L5">
        <f>ROUND(MAX(0,MIN(100,100*(1-K5/IF(D5&gt;0,D5,SUMIFS(Consolidation!$M:$M,Consolidation!$A:$A,"*"&amp;$B$10&amp;"*")/31)))),2)</f>
        <v/>
      </c>
      <c r="M5">
        <f>MAX(0,(L5-$B$6)/($B$7-$B$6)*$B$8)</f>
        <v/>
      </c>
      <c r="N5">
        <f>$B$2+H5+M5</f>
        <v/>
      </c>
      <c r="X5" t="n">
        <v>42</v>
      </c>
      <c r="Y5" t="inlineStr">
        <is>
          <t>2026-10-04</t>
        </is>
      </c>
      <c r="Z5" t="inlineStr">
        <is>
          <t>com.logistics.rider.foodpanda</t>
        </is>
      </c>
      <c r="AB5" t="n">
        <v>3</v>
      </c>
      <c r="AC5" t="inlineStr">
        <is>
          <t>2026-10-01</t>
        </is>
      </c>
      <c r="AD5" t="inlineStr">
        <is>
          <t>com.logistics.rider.pedidosya</t>
        </is>
      </c>
    </row>
    <row r="6">
      <c r="A6" s="30" t="inlineStr">
        <is>
          <t>Hang minimum</t>
        </is>
      </c>
      <c r="B6" s="31" t="n">
        <v>99.5</v>
      </c>
      <c r="C6" t="inlineStr">
        <is>
          <t>2026-10-05</t>
        </is>
      </c>
      <c r="D6">
        <f>SUMIFS(V:V,U:U,"*"&amp;$B$10&amp;"*",T:T,C6)</f>
        <v/>
      </c>
      <c r="E6">
        <f>SUMIFS(X:X,Z:Z,"*"&amp;$B$10&amp;"*",Y:Y,C6)</f>
        <v/>
      </c>
      <c r="G6">
        <f>ROUND(MAX(0,MIN(100,(1-E6/IF(D6&gt;0,D6,SUMIFS(Consolidation!$M:$M,Consolidation!$A:$A,"*"&amp;$B$10&amp;"*")/31))*100)),2)</f>
        <v/>
      </c>
      <c r="H6">
        <f>MIN(1,(G6-$B$3)/($B$4-$B$3))*$B$1</f>
        <v/>
      </c>
      <c r="K6">
        <f>SUMIFS(AB:AB,AD:AD,"*"&amp;$B$10&amp;"*",AC:AC,C6)</f>
        <v/>
      </c>
      <c r="L6">
        <f>ROUND(MAX(0,MIN(100,100*(1-K6/IF(D6&gt;0,D6,SUMIFS(Consolidation!$M:$M,Consolidation!$A:$A,"*"&amp;$B$10&amp;"*")/31)))),2)</f>
        <v/>
      </c>
      <c r="M6">
        <f>MAX(0,(L6-$B$6)/($B$7-$B$6)*$B$8)</f>
        <v/>
      </c>
      <c r="N6">
        <f>$B$2+H6+M6</f>
        <v/>
      </c>
      <c r="X6" t="n">
        <v>20</v>
      </c>
      <c r="Y6" t="inlineStr">
        <is>
          <t>2026-10-05</t>
        </is>
      </c>
      <c r="Z6" t="inlineStr">
        <is>
          <t>com.logistics.rider.foodpanda</t>
        </is>
      </c>
      <c r="AB6" t="n">
        <v>8</v>
      </c>
      <c r="AC6" t="inlineStr">
        <is>
          <t>2026-10-01</t>
        </is>
      </c>
      <c r="AD6" t="inlineStr">
        <is>
          <t>com.logistics.rider.hungerstation</t>
        </is>
      </c>
    </row>
    <row r="7">
      <c r="A7" s="30" t="inlineStr">
        <is>
          <t>Hang maximum</t>
        </is>
      </c>
      <c r="B7" s="31" t="n">
        <v>99.90000000000001</v>
      </c>
      <c r="C7" t="inlineStr">
        <is>
          <t>2026-10-06</t>
        </is>
      </c>
      <c r="D7">
        <f>SUMIFS(V:V,U:U,"*"&amp;$B$10&amp;"*",T:T,C7)</f>
        <v/>
      </c>
      <c r="E7">
        <f>SUMIFS(X:X,Z:Z,"*"&amp;$B$10&amp;"*",Y:Y,C7)</f>
        <v/>
      </c>
      <c r="G7">
        <f>ROUND(MAX(0,MIN(100,(1-E7/IF(D7&gt;0,D7,SUMIFS(Consolidation!$M:$M,Consolidation!$A:$A,"*"&amp;$B$10&amp;"*")/31))*100)),2)</f>
        <v/>
      </c>
      <c r="H7">
        <f>MIN(1,(G7-$B$3)/($B$4-$B$3))*$B$1</f>
        <v/>
      </c>
      <c r="K7">
        <f>SUMIFS(AB:AB,AD:AD,"*"&amp;$B$10&amp;"*",AC:AC,C7)</f>
        <v/>
      </c>
      <c r="L7">
        <f>ROUND(MAX(0,MIN(100,100*(1-K7/IF(D7&gt;0,D7,SUMIFS(Consolidation!$M:$M,Consolidation!$A:$A,"*"&amp;$B$10&amp;"*")/31)))),2)</f>
        <v/>
      </c>
      <c r="M7">
        <f>MAX(0,(L7-$B$6)/($B$7-$B$6)*$B$8)</f>
        <v/>
      </c>
      <c r="N7">
        <f>$B$2+H7+M7</f>
        <v/>
      </c>
      <c r="X7" t="n">
        <v>31</v>
      </c>
      <c r="Y7" t="inlineStr">
        <is>
          <t>2026-10-06</t>
        </is>
      </c>
      <c r="Z7" t="inlineStr">
        <is>
          <t>com.logistics.rider.foodpanda</t>
        </is>
      </c>
      <c r="AB7" t="n">
        <v>15</v>
      </c>
      <c r="AC7" t="inlineStr">
        <is>
          <t>2026-10-01</t>
        </is>
      </c>
      <c r="AD7" t="inlineStr">
        <is>
          <t>com.logistics.rider.glovo</t>
        </is>
      </c>
    </row>
    <row r="8">
      <c r="A8" s="30" t="inlineStr">
        <is>
          <t>Hang part in AQS</t>
        </is>
      </c>
      <c r="B8" s="31" t="n">
        <v>25</v>
      </c>
      <c r="C8" t="inlineStr">
        <is>
          <t>2026-10-07</t>
        </is>
      </c>
      <c r="D8">
        <f>SUMIFS(V:V,U:U,"*"&amp;$B$10&amp;"*",T:T,C8)</f>
        <v/>
      </c>
      <c r="E8">
        <f>SUMIFS(X:X,Z:Z,"*"&amp;$B$10&amp;"*",Y:Y,C8)</f>
        <v/>
      </c>
      <c r="G8">
        <f>ROUND(MAX(0,MIN(100,(1-E8/IF(D8&gt;0,D8,SUMIFS(Consolidation!$M:$M,Consolidation!$A:$A,"*"&amp;$B$10&amp;"*")/31))*100)),2)</f>
        <v/>
      </c>
      <c r="H8">
        <f>MIN(1,(G8-$B$3)/($B$4-$B$3))*$B$1</f>
        <v/>
      </c>
      <c r="K8">
        <f>SUMIFS(AB:AB,AD:AD,"*"&amp;$B$10&amp;"*",AC:AC,C8)</f>
        <v/>
      </c>
      <c r="L8">
        <f>ROUND(MAX(0,MIN(100,100*(1-K8/IF(D8&gt;0,D8,SUMIFS(Consolidation!$M:$M,Consolidation!$A:$A,"*"&amp;$B$10&amp;"*")/31)))),2)</f>
        <v/>
      </c>
      <c r="M8">
        <f>MAX(0,(L8-$B$6)/($B$7-$B$6)*$B$8)</f>
        <v/>
      </c>
      <c r="N8">
        <f>$B$2+H8+M8</f>
        <v/>
      </c>
      <c r="X8" t="n">
        <v>46</v>
      </c>
      <c r="Y8" t="inlineStr">
        <is>
          <t>2026-10-07</t>
        </is>
      </c>
      <c r="Z8" t="inlineStr">
        <is>
          <t>com.logistics.rider.foodpanda</t>
        </is>
      </c>
      <c r="AB8" t="n">
        <v>1</v>
      </c>
      <c r="AC8" t="inlineStr">
        <is>
          <t>2026-10-01</t>
        </is>
      </c>
      <c r="AD8" t="inlineStr">
        <is>
          <t>com.logistics.rider.efood</t>
        </is>
      </c>
    </row>
    <row r="9">
      <c r="C9" t="inlineStr">
        <is>
          <t>2026-10-08</t>
        </is>
      </c>
      <c r="D9">
        <f>SUMIFS(V:V,U:U,"*"&amp;$B$10&amp;"*",T:T,C9)</f>
        <v/>
      </c>
      <c r="E9">
        <f>SUMIFS(X:X,Z:Z,"*"&amp;$B$10&amp;"*",Y:Y,C9)</f>
        <v/>
      </c>
      <c r="G9">
        <f>ROUND(MAX(0,MIN(100,(1-E9/IF(D9&gt;0,D9,SUMIFS(Consolidation!$M:$M,Consolidation!$A:$A,"*"&amp;$B$10&amp;"*")/31))*100)),2)</f>
        <v/>
      </c>
      <c r="H9">
        <f>MIN(1,(G9-$B$3)/($B$4-$B$3))*$B$1</f>
        <v/>
      </c>
      <c r="K9">
        <f>SUMIFS(AB:AB,AD:AD,"*"&amp;$B$10&amp;"*",AC:AC,C9)</f>
        <v/>
      </c>
      <c r="L9">
        <f>ROUND(MAX(0,MIN(100,100*(1-K9/IF(D9&gt;0,D9,SUMIFS(Consolidation!$M:$M,Consolidation!$A:$A,"*"&amp;$B$10&amp;"*")/31)))),2)</f>
        <v/>
      </c>
      <c r="M9">
        <f>MAX(0,(L9-$B$6)/($B$7-$B$6)*$B$8)</f>
        <v/>
      </c>
      <c r="N9">
        <f>$B$2+H9+M9</f>
        <v/>
      </c>
      <c r="X9" t="n">
        <v>47</v>
      </c>
      <c r="Y9" t="inlineStr">
        <is>
          <t>2026-10-08</t>
        </is>
      </c>
      <c r="Z9" t="inlineStr">
        <is>
          <t>com.logistics.rider.foodpanda</t>
        </is>
      </c>
      <c r="AB9" t="n">
        <v>2</v>
      </c>
      <c r="AC9" t="inlineStr">
        <is>
          <t>2026-10-01</t>
        </is>
      </c>
      <c r="AD9" t="inlineStr">
        <is>
          <t>com.logistics.rider.foody</t>
        </is>
      </c>
    </row>
    <row r="10">
      <c r="A10" s="30" t="inlineStr">
        <is>
          <t>Brand</t>
        </is>
      </c>
      <c r="B10" s="31" t="inlineStr">
        <is>
          <t>woowa</t>
        </is>
      </c>
      <c r="C10" t="inlineStr">
        <is>
          <t>2026-10-09</t>
        </is>
      </c>
      <c r="D10">
        <f>SUMIFS(V:V,U:U,"*"&amp;$B$10&amp;"*",T:T,C10)</f>
        <v/>
      </c>
      <c r="E10">
        <f>SUMIFS(X:X,Z:Z,"*"&amp;$B$10&amp;"*",Y:Y,C10)</f>
        <v/>
      </c>
      <c r="G10">
        <f>ROUND(MAX(0,MIN(100,(1-E10/IF(D10&gt;0,D10,SUMIFS(Consolidation!$M:$M,Consolidation!$A:$A,"*"&amp;$B$10&amp;"*")/31))*100)),2)</f>
        <v/>
      </c>
      <c r="H10">
        <f>MIN(1,(G10-$B$3)/($B$4-$B$3))*$B$1</f>
        <v/>
      </c>
      <c r="K10">
        <f>SUMIFS(AB:AB,AD:AD,"*"&amp;$B$10&amp;"*",AC:AC,C10)</f>
        <v/>
      </c>
      <c r="L10">
        <f>ROUND(MAX(0,MIN(100,100*(1-K10/IF(D10&gt;0,D10,SUMIFS(Consolidation!$M:$M,Consolidation!$A:$A,"*"&amp;$B$10&amp;"*")/31)))),2)</f>
        <v/>
      </c>
      <c r="M10">
        <f>MAX(0,(L10-$B$6)/($B$7-$B$6)*$B$8)</f>
        <v/>
      </c>
      <c r="N10">
        <f>$B$2+H10+M10</f>
        <v/>
      </c>
      <c r="X10" t="n">
        <v>38</v>
      </c>
      <c r="Y10" t="inlineStr">
        <is>
          <t>2026-10-09</t>
        </is>
      </c>
      <c r="Z10" t="inlineStr">
        <is>
          <t>com.logistics.rider.foodpanda</t>
        </is>
      </c>
      <c r="AB10" t="n">
        <v>46</v>
      </c>
      <c r="AC10" t="inlineStr">
        <is>
          <t>2026-10-02</t>
        </is>
      </c>
      <c r="AD10" t="inlineStr">
        <is>
          <t>com.logistics.rider.foodpanda</t>
        </is>
      </c>
    </row>
    <row r="11">
      <c r="C11" t="inlineStr">
        <is>
          <t>2026-10-10</t>
        </is>
      </c>
      <c r="D11">
        <f>SUMIFS(V:V,U:U,"*"&amp;$B$10&amp;"*",T:T,C11)</f>
        <v/>
      </c>
      <c r="E11">
        <f>SUMIFS(X:X,Z:Z,"*"&amp;$B$10&amp;"*",Y:Y,C11)</f>
        <v/>
      </c>
      <c r="G11">
        <f>ROUND(MAX(0,MIN(100,(1-E11/IF(D11&gt;0,D11,SUMIFS(Consolidation!$M:$M,Consolidation!$A:$A,"*"&amp;$B$10&amp;"*")/31))*100)),2)</f>
        <v/>
      </c>
      <c r="H11">
        <f>MIN(1,(G11-$B$3)/($B$4-$B$3))*$B$1</f>
        <v/>
      </c>
      <c r="K11">
        <f>SUMIFS(AB:AB,AD:AD,"*"&amp;$B$10&amp;"*",AC:AC,C11)</f>
        <v/>
      </c>
      <c r="L11">
        <f>ROUND(MAX(0,MIN(100,100*(1-K11/IF(D11&gt;0,D11,SUMIFS(Consolidation!$M:$M,Consolidation!$A:$A,"*"&amp;$B$10&amp;"*")/31)))),2)</f>
        <v/>
      </c>
      <c r="M11">
        <f>MAX(0,(L11-$B$6)/($B$7-$B$6)*$B$8)</f>
        <v/>
      </c>
      <c r="N11">
        <f>$B$2+H11+M11</f>
        <v/>
      </c>
      <c r="X11" t="n">
        <v>29</v>
      </c>
      <c r="Y11" t="inlineStr">
        <is>
          <t>2026-10-10</t>
        </is>
      </c>
      <c r="Z11" t="inlineStr">
        <is>
          <t>com.logistics.rider.foodpanda</t>
        </is>
      </c>
      <c r="AB11" t="n">
        <v>11</v>
      </c>
      <c r="AC11" t="inlineStr">
        <is>
          <t>2026-10-02</t>
        </is>
      </c>
      <c r="AD11" t="inlineStr">
        <is>
          <t>com.logistics.rider.foodora</t>
        </is>
      </c>
    </row>
    <row r="12">
      <c r="C12" t="inlineStr">
        <is>
          <t>2026-10-11</t>
        </is>
      </c>
      <c r="D12">
        <f>SUMIFS(V:V,U:U,"*"&amp;$B$10&amp;"*",T:T,C12)</f>
        <v/>
      </c>
      <c r="E12">
        <f>SUMIFS(X:X,Z:Z,"*"&amp;$B$10&amp;"*",Y:Y,C12)</f>
        <v/>
      </c>
      <c r="G12">
        <f>ROUND(MAX(0,MIN(100,(1-E12/IF(D12&gt;0,D12,SUMIFS(Consolidation!$M:$M,Consolidation!$A:$A,"*"&amp;$B$10&amp;"*")/31))*100)),2)</f>
        <v/>
      </c>
      <c r="H12">
        <f>MIN(1,(G12-$B$3)/($B$4-$B$3))*$B$1</f>
        <v/>
      </c>
      <c r="K12">
        <f>SUMIFS(AB:AB,AD:AD,"*"&amp;$B$10&amp;"*",AC:AC,C12)</f>
        <v/>
      </c>
      <c r="L12">
        <f>ROUND(MAX(0,MIN(100,100*(1-K12/IF(D12&gt;0,D12,SUMIFS(Consolidation!$M:$M,Consolidation!$A:$A,"*"&amp;$B$10&amp;"*")/31)))),2)</f>
        <v/>
      </c>
      <c r="M12">
        <f>MAX(0,(L12-$B$6)/($B$7-$B$6)*$B$8)</f>
        <v/>
      </c>
      <c r="N12">
        <f>$B$2+H12+M12</f>
        <v/>
      </c>
      <c r="X12" t="n">
        <v>22</v>
      </c>
      <c r="Y12" t="inlineStr">
        <is>
          <t>2026-10-11</t>
        </is>
      </c>
      <c r="Z12" t="inlineStr">
        <is>
          <t>com.logistics.rider.foodpanda</t>
        </is>
      </c>
      <c r="AB12" t="n">
        <v>21</v>
      </c>
      <c r="AC12" t="inlineStr">
        <is>
          <t>2026-10-02</t>
        </is>
      </c>
      <c r="AD12" t="inlineStr">
        <is>
          <t>com.logistics.rider.talabat</t>
        </is>
      </c>
    </row>
    <row r="13">
      <c r="C13" t="inlineStr">
        <is>
          <t>2026-10-12</t>
        </is>
      </c>
      <c r="D13">
        <f>SUMIFS(V:V,U:U,"*"&amp;$B$10&amp;"*",T:T,C13)</f>
        <v/>
      </c>
      <c r="E13">
        <f>SUMIFS(X:X,Z:Z,"*"&amp;$B$10&amp;"*",Y:Y,C13)</f>
        <v/>
      </c>
      <c r="G13">
        <f>ROUND(MAX(0,MIN(100,(1-E13/IF(D13&gt;0,D13,SUMIFS(Consolidation!$M:$M,Consolidation!$A:$A,"*"&amp;$B$10&amp;"*")/31))*100)),2)</f>
        <v/>
      </c>
      <c r="H13">
        <f>MIN(1,(G13-$B$3)/($B$4-$B$3))*$B$1</f>
        <v/>
      </c>
      <c r="K13">
        <f>SUMIFS(AB:AB,AD:AD,"*"&amp;$B$10&amp;"*",AC:AC,C13)</f>
        <v/>
      </c>
      <c r="L13">
        <f>ROUND(MAX(0,MIN(100,100*(1-K13/IF(D13&gt;0,D13,SUMIFS(Consolidation!$M:$M,Consolidation!$A:$A,"*"&amp;$B$10&amp;"*")/31)))),2)</f>
        <v/>
      </c>
      <c r="M13">
        <f>MAX(0,(L13-$B$6)/($B$7-$B$6)*$B$8)</f>
        <v/>
      </c>
      <c r="N13">
        <f>$B$2+H13+M13</f>
        <v/>
      </c>
      <c r="X13" t="n">
        <v>20</v>
      </c>
      <c r="Y13" t="inlineStr">
        <is>
          <t>2026-10-12</t>
        </is>
      </c>
      <c r="Z13" t="inlineStr">
        <is>
          <t>com.logistics.rider.foodpanda</t>
        </is>
      </c>
      <c r="AB13" t="n">
        <v>17</v>
      </c>
      <c r="AC13" t="inlineStr">
        <is>
          <t>2026-10-02</t>
        </is>
      </c>
      <c r="AD13" t="inlineStr">
        <is>
          <t>com.logistics.rider.pedidosya</t>
        </is>
      </c>
    </row>
    <row r="14">
      <c r="C14" t="inlineStr">
        <is>
          <t>2026-10-13</t>
        </is>
      </c>
      <c r="X14" t="n">
        <v>3</v>
      </c>
      <c r="Y14" t="inlineStr">
        <is>
          <t>2026-10-02</t>
        </is>
      </c>
      <c r="Z14" t="inlineStr">
        <is>
          <t>com.logistics.rider.foodora</t>
        </is>
      </c>
      <c r="AB14" t="n">
        <v>8</v>
      </c>
      <c r="AC14" t="inlineStr">
        <is>
          <t>2026-10-02</t>
        </is>
      </c>
      <c r="AD14" t="inlineStr">
        <is>
          <t>com.logistics.rider.hungerstation</t>
        </is>
      </c>
    </row>
    <row r="15">
      <c r="C15" t="inlineStr">
        <is>
          <t>2026-10-14</t>
        </is>
      </c>
      <c r="X15" t="n">
        <v>6</v>
      </c>
      <c r="Y15" t="inlineStr">
        <is>
          <t>2026-10-03</t>
        </is>
      </c>
      <c r="Z15" t="inlineStr">
        <is>
          <t>com.logistics.rider.foodora</t>
        </is>
      </c>
      <c r="AB15" t="n">
        <v>28</v>
      </c>
      <c r="AC15" t="inlineStr">
        <is>
          <t>2026-10-02</t>
        </is>
      </c>
      <c r="AD15" t="inlineStr">
        <is>
          <t>com.logistics.rider.glovo</t>
        </is>
      </c>
    </row>
    <row r="16">
      <c r="C16" t="inlineStr">
        <is>
          <t>2026-10-15</t>
        </is>
      </c>
      <c r="X16" t="n">
        <v>4</v>
      </c>
      <c r="Y16" t="inlineStr">
        <is>
          <t>2026-10-04</t>
        </is>
      </c>
      <c r="Z16" t="inlineStr">
        <is>
          <t>com.logistics.rider.foodora</t>
        </is>
      </c>
      <c r="AB16" t="n">
        <v>1</v>
      </c>
      <c r="AC16" t="inlineStr">
        <is>
          <t>2026-10-02</t>
        </is>
      </c>
      <c r="AD16" t="inlineStr">
        <is>
          <t>com.logistics.rider.woowabros</t>
        </is>
      </c>
    </row>
    <row r="17">
      <c r="C17" t="inlineStr">
        <is>
          <t>2026-10-16</t>
        </is>
      </c>
      <c r="X17" t="n">
        <v>5</v>
      </c>
      <c r="Y17" t="inlineStr">
        <is>
          <t>2026-10-05</t>
        </is>
      </c>
      <c r="Z17" t="inlineStr">
        <is>
          <t>com.logistics.rider.foodora</t>
        </is>
      </c>
      <c r="AB17" t="n">
        <v>1</v>
      </c>
      <c r="AC17" t="inlineStr">
        <is>
          <t>2026-10-02</t>
        </is>
      </c>
      <c r="AD17" t="inlineStr">
        <is>
          <t>com.logistics.rider.efood</t>
        </is>
      </c>
    </row>
    <row r="18">
      <c r="C18" t="inlineStr">
        <is>
          <t>2026-10-17</t>
        </is>
      </c>
      <c r="X18" t="n">
        <v>1</v>
      </c>
      <c r="Y18" t="inlineStr">
        <is>
          <t>2026-10-06</t>
        </is>
      </c>
      <c r="Z18" t="inlineStr">
        <is>
          <t>com.logistics.rider.foodora</t>
        </is>
      </c>
      <c r="AB18" t="n">
        <v>1</v>
      </c>
      <c r="AC18" t="inlineStr">
        <is>
          <t>2026-10-02</t>
        </is>
      </c>
      <c r="AD18" t="inlineStr">
        <is>
          <t>com.logistics.rider.foody</t>
        </is>
      </c>
    </row>
    <row r="19">
      <c r="C19" t="inlineStr">
        <is>
          <t>2026-10-18</t>
        </is>
      </c>
      <c r="X19" t="n">
        <v>5</v>
      </c>
      <c r="Y19" t="inlineStr">
        <is>
          <t>2026-10-07</t>
        </is>
      </c>
      <c r="Z19" t="inlineStr">
        <is>
          <t>com.logistics.rider.foodora</t>
        </is>
      </c>
      <c r="AB19" t="n">
        <v>76</v>
      </c>
      <c r="AC19" t="inlineStr">
        <is>
          <t>2026-10-03</t>
        </is>
      </c>
      <c r="AD19" t="inlineStr">
        <is>
          <t>com.logistics.rider.foodpanda</t>
        </is>
      </c>
    </row>
    <row r="20">
      <c r="C20" t="inlineStr">
        <is>
          <t>2026-10-19</t>
        </is>
      </c>
      <c r="X20" t="n">
        <v>7</v>
      </c>
      <c r="Y20" t="inlineStr">
        <is>
          <t>2026-10-08</t>
        </is>
      </c>
      <c r="Z20" t="inlineStr">
        <is>
          <t>com.logistics.rider.foodora</t>
        </is>
      </c>
      <c r="AB20" t="n">
        <v>8</v>
      </c>
      <c r="AC20" t="inlineStr">
        <is>
          <t>2026-10-03</t>
        </is>
      </c>
      <c r="AD20" t="inlineStr">
        <is>
          <t>com.logistics.rider.foodora</t>
        </is>
      </c>
    </row>
    <row r="21">
      <c r="C21" t="inlineStr">
        <is>
          <t>2026-10-20</t>
        </is>
      </c>
      <c r="X21" t="n">
        <v>3</v>
      </c>
      <c r="Y21" t="inlineStr">
        <is>
          <t>2026-10-09</t>
        </is>
      </c>
      <c r="Z21" t="inlineStr">
        <is>
          <t>com.logistics.rider.foodora</t>
        </is>
      </c>
      <c r="AB21" t="n">
        <v>40</v>
      </c>
      <c r="AC21" t="inlineStr">
        <is>
          <t>2026-10-03</t>
        </is>
      </c>
      <c r="AD21" t="inlineStr">
        <is>
          <t>com.logistics.rider.talabat</t>
        </is>
      </c>
    </row>
    <row r="22">
      <c r="C22" t="inlineStr">
        <is>
          <t>2026-10-21</t>
        </is>
      </c>
      <c r="X22" t="n">
        <v>3</v>
      </c>
      <c r="Y22" t="inlineStr">
        <is>
          <t>2026-10-10</t>
        </is>
      </c>
      <c r="Z22" t="inlineStr">
        <is>
          <t>com.logistics.rider.foodora</t>
        </is>
      </c>
      <c r="AB22" t="n">
        <v>17</v>
      </c>
      <c r="AC22" t="inlineStr">
        <is>
          <t>2026-10-03</t>
        </is>
      </c>
      <c r="AD22" t="inlineStr">
        <is>
          <t>com.logistics.rider.pedidosya</t>
        </is>
      </c>
    </row>
    <row r="23">
      <c r="C23" t="inlineStr">
        <is>
          <t>2026-10-22</t>
        </is>
      </c>
      <c r="X23" t="n">
        <v>3</v>
      </c>
      <c r="Y23" t="inlineStr">
        <is>
          <t>2026-10-11</t>
        </is>
      </c>
      <c r="Z23" t="inlineStr">
        <is>
          <t>com.logistics.rider.foodora</t>
        </is>
      </c>
      <c r="AB23" t="n">
        <v>11</v>
      </c>
      <c r="AC23" t="inlineStr">
        <is>
          <t>2026-10-03</t>
        </is>
      </c>
      <c r="AD23" t="inlineStr">
        <is>
          <t>com.logistics.rider.hungerstation</t>
        </is>
      </c>
    </row>
    <row r="24">
      <c r="C24" t="inlineStr">
        <is>
          <t>2026-10-23</t>
        </is>
      </c>
      <c r="X24" t="n">
        <v>4</v>
      </c>
      <c r="Y24" t="inlineStr">
        <is>
          <t>2026-10-12</t>
        </is>
      </c>
      <c r="Z24" t="inlineStr">
        <is>
          <t>com.logistics.rider.foodora</t>
        </is>
      </c>
      <c r="AB24" t="n">
        <v>47</v>
      </c>
      <c r="AC24" t="inlineStr">
        <is>
          <t>2026-10-03</t>
        </is>
      </c>
      <c r="AD24" t="inlineStr">
        <is>
          <t>com.logistics.rider.glovo</t>
        </is>
      </c>
    </row>
    <row r="25">
      <c r="C25" t="inlineStr">
        <is>
          <t>2026-10-24</t>
        </is>
      </c>
      <c r="X25" t="n">
        <v>5</v>
      </c>
      <c r="Y25" t="inlineStr">
        <is>
          <t>2026-10-01</t>
        </is>
      </c>
      <c r="Z25" t="inlineStr">
        <is>
          <t>com.logistics.rider.talabat</t>
        </is>
      </c>
      <c r="AB25" t="n">
        <v>3</v>
      </c>
      <c r="AC25" t="inlineStr">
        <is>
          <t>2026-10-03</t>
        </is>
      </c>
      <c r="AD25" t="inlineStr">
        <is>
          <t>com.logistics.rider.efood</t>
        </is>
      </c>
    </row>
    <row r="26">
      <c r="C26" t="inlineStr">
        <is>
          <t>2026-10-25</t>
        </is>
      </c>
      <c r="X26" t="n">
        <v>7</v>
      </c>
      <c r="Y26" t="inlineStr">
        <is>
          <t>2026-10-02</t>
        </is>
      </c>
      <c r="Z26" t="inlineStr">
        <is>
          <t>com.logistics.rider.talabat</t>
        </is>
      </c>
      <c r="AB26" t="n">
        <v>111</v>
      </c>
      <c r="AC26" t="inlineStr">
        <is>
          <t>2026-10-04</t>
        </is>
      </c>
      <c r="AD26" t="inlineStr">
        <is>
          <t>com.logistics.rider.foodpanda</t>
        </is>
      </c>
    </row>
    <row r="27">
      <c r="C27" t="inlineStr">
        <is>
          <t>2026-10-26</t>
        </is>
      </c>
      <c r="X27" t="n">
        <v>9</v>
      </c>
      <c r="Y27" t="inlineStr">
        <is>
          <t>2026-10-03</t>
        </is>
      </c>
      <c r="Z27" t="inlineStr">
        <is>
          <t>com.logistics.rider.talabat</t>
        </is>
      </c>
      <c r="AB27" t="n">
        <v>11</v>
      </c>
      <c r="AC27" t="inlineStr">
        <is>
          <t>2026-10-04</t>
        </is>
      </c>
      <c r="AD27" t="inlineStr">
        <is>
          <t>com.logistics.rider.foodora</t>
        </is>
      </c>
    </row>
    <row r="28">
      <c r="C28" t="inlineStr">
        <is>
          <t>2026-10-27</t>
        </is>
      </c>
      <c r="X28" t="n">
        <v>11</v>
      </c>
      <c r="Y28" t="inlineStr">
        <is>
          <t>2026-10-04</t>
        </is>
      </c>
      <c r="Z28" t="inlineStr">
        <is>
          <t>com.logistics.rider.talabat</t>
        </is>
      </c>
      <c r="AB28" t="n">
        <v>55</v>
      </c>
      <c r="AC28" t="inlineStr">
        <is>
          <t>2026-10-04</t>
        </is>
      </c>
      <c r="AD28" t="inlineStr">
        <is>
          <t>com.logistics.rider.talabat</t>
        </is>
      </c>
    </row>
    <row r="29">
      <c r="C29" t="inlineStr">
        <is>
          <t>2026-10-28</t>
        </is>
      </c>
      <c r="X29" t="n">
        <v>18</v>
      </c>
      <c r="Y29" t="inlineStr">
        <is>
          <t>2026-10-05</t>
        </is>
      </c>
      <c r="Z29" t="inlineStr">
        <is>
          <t>com.logistics.rider.talabat</t>
        </is>
      </c>
      <c r="AB29" t="n">
        <v>34</v>
      </c>
      <c r="AC29" t="inlineStr">
        <is>
          <t>2026-10-04</t>
        </is>
      </c>
      <c r="AD29" t="inlineStr">
        <is>
          <t>com.logistics.rider.pedidosya</t>
        </is>
      </c>
    </row>
    <row r="30">
      <c r="C30" t="inlineStr">
        <is>
          <t>2026-10-29</t>
        </is>
      </c>
      <c r="X30" t="n">
        <v>24</v>
      </c>
      <c r="Y30" t="inlineStr">
        <is>
          <t>2026-10-06</t>
        </is>
      </c>
      <c r="Z30" t="inlineStr">
        <is>
          <t>com.logistics.rider.talabat</t>
        </is>
      </c>
      <c r="AB30" t="n">
        <v>19</v>
      </c>
      <c r="AC30" t="inlineStr">
        <is>
          <t>2026-10-04</t>
        </is>
      </c>
      <c r="AD30" t="inlineStr">
        <is>
          <t>com.logistics.rider.hungerstation</t>
        </is>
      </c>
    </row>
    <row r="31">
      <c r="C31" t="inlineStr">
        <is>
          <t>2026-10-30</t>
        </is>
      </c>
      <c r="X31" t="n">
        <v>19</v>
      </c>
      <c r="Y31" t="inlineStr">
        <is>
          <t>2026-10-07</t>
        </is>
      </c>
      <c r="Z31" t="inlineStr">
        <is>
          <t>com.logistics.rider.talabat</t>
        </is>
      </c>
      <c r="AB31" t="n">
        <v>67</v>
      </c>
      <c r="AC31" t="inlineStr">
        <is>
          <t>2026-10-04</t>
        </is>
      </c>
      <c r="AD31" t="inlineStr">
        <is>
          <t>com.logistics.rider.glovo</t>
        </is>
      </c>
    </row>
    <row r="32">
      <c r="C32" t="inlineStr">
        <is>
          <t>2026-10-31</t>
        </is>
      </c>
      <c r="X32" t="n">
        <v>16</v>
      </c>
      <c r="Y32" t="inlineStr">
        <is>
          <t>2026-10-08</t>
        </is>
      </c>
      <c r="Z32" t="inlineStr">
        <is>
          <t>com.logistics.rider.talabat</t>
        </is>
      </c>
      <c r="AB32" t="n">
        <v>5</v>
      </c>
      <c r="AC32" t="inlineStr">
        <is>
          <t>2026-10-04</t>
        </is>
      </c>
      <c r="AD32" t="inlineStr">
        <is>
          <t>com.logistics.rider.efood</t>
        </is>
      </c>
    </row>
    <row r="33">
      <c r="G33" s="36" t="inlineStr">
        <is>
          <t>AVG CFU</t>
        </is>
      </c>
      <c r="I33" s="36" t="inlineStr">
        <is>
          <t>October AQS score</t>
        </is>
      </c>
      <c r="L33" s="36" t="inlineStr">
        <is>
          <t>AVG Hang-free</t>
        </is>
      </c>
      <c r="N33" s="36" t="inlineStr">
        <is>
          <t>Projected AQS including hangs</t>
        </is>
      </c>
      <c r="X33" t="n">
        <v>17</v>
      </c>
      <c r="Y33" t="inlineStr">
        <is>
          <t>2026-10-09</t>
        </is>
      </c>
      <c r="Z33" t="inlineStr">
        <is>
          <t>com.logistics.rider.talabat</t>
        </is>
      </c>
      <c r="AB33" t="n">
        <v>112</v>
      </c>
      <c r="AC33" t="inlineStr">
        <is>
          <t>2026-10-05</t>
        </is>
      </c>
      <c r="AD33" t="inlineStr">
        <is>
          <t>com.logistics.rider.foodpanda</t>
        </is>
      </c>
    </row>
    <row r="34">
      <c r="D34">
        <f>AVERAGE(D2:D13)</f>
        <v/>
      </c>
      <c r="G34" s="37">
        <f>TRUNC(MAX(0,MIN(100,(1-SUMIFS(X:X,Z:Z,"*"&amp;$B$10&amp;"*")/IF(SUMIFS(V:V,U:U,"*"&amp;$B$10&amp;"*")&gt;0,SUMIFS(V:V,U:U,"*"&amp;$B$10&amp;"*"),SUMIFS(Consolidation!$M:$M,Consolidation!$A:$A,"*"&amp;$B$10&amp;"*")*31))*100)),2)</f>
        <v/>
      </c>
      <c r="H34">
        <f>AVERAGE(H2:H13)</f>
        <v/>
      </c>
      <c r="I34" s="38">
        <f>$B$2+H34</f>
        <v/>
      </c>
      <c r="L34" s="37">
        <f>TRUNC(MAX(0,MIN(100,(1-SUMIFS(AB:AB,AD:AD,"*"&amp;$B$10&amp;"*")/IF(SUMIFS(V:V,U:U,"*"&amp;$B$10&amp;"*")&gt;0,SUMIFS(V:V,U:U,"*"&amp;$B$10&amp;"*"),SUMIFS(Consolidation!$M:$M,Consolidation!$A:$A,"*"&amp;$B$10&amp;"*")*31))*100)),2)</f>
        <v/>
      </c>
      <c r="M34">
        <f>MAX(0,(L34-$B$6)/($B$7-$B$6)*$B$8)</f>
        <v/>
      </c>
      <c r="N34" s="38">
        <f>$B$2+MAX(0,(G34-$B$3)/($B$4-$B$3)*($B$1-$B$8))+M34</f>
        <v/>
      </c>
      <c r="X34" t="n">
        <v>12</v>
      </c>
      <c r="Y34" t="inlineStr">
        <is>
          <t>2026-10-10</t>
        </is>
      </c>
      <c r="Z34" t="inlineStr">
        <is>
          <t>com.logistics.rider.talabat</t>
        </is>
      </c>
      <c r="AB34" t="n">
        <v>7</v>
      </c>
      <c r="AC34" t="inlineStr">
        <is>
          <t>2026-10-05</t>
        </is>
      </c>
      <c r="AD34" t="inlineStr">
        <is>
          <t>com.logistics.rider.foodora</t>
        </is>
      </c>
    </row>
    <row r="35">
      <c r="X35" t="n">
        <v>10</v>
      </c>
      <c r="Y35" t="inlineStr">
        <is>
          <t>2026-10-11</t>
        </is>
      </c>
      <c r="Z35" t="inlineStr">
        <is>
          <t>com.logistics.rider.talabat</t>
        </is>
      </c>
      <c r="AB35" t="n">
        <v>40</v>
      </c>
      <c r="AC35" t="inlineStr">
        <is>
          <t>2026-10-05</t>
        </is>
      </c>
      <c r="AD35" t="inlineStr">
        <is>
          <t>com.logistics.rider.talabat</t>
        </is>
      </c>
    </row>
    <row r="36">
      <c r="X36" t="n">
        <v>13</v>
      </c>
      <c r="Y36" t="inlineStr">
        <is>
          <t>2026-10-12</t>
        </is>
      </c>
      <c r="Z36" t="inlineStr">
        <is>
          <t>com.logistics.rider.talabat</t>
        </is>
      </c>
      <c r="AB36" t="n">
        <v>27</v>
      </c>
      <c r="AC36" t="inlineStr">
        <is>
          <t>2026-10-05</t>
        </is>
      </c>
      <c r="AD36" t="inlineStr">
        <is>
          <t>com.logistics.rider.pedidosya</t>
        </is>
      </c>
    </row>
    <row r="37">
      <c r="X37" t="n">
        <v>4</v>
      </c>
      <c r="Y37" t="inlineStr">
        <is>
          <t>2026-10-02</t>
        </is>
      </c>
      <c r="Z37" t="inlineStr">
        <is>
          <t>com.logistics.rider.pedidosya</t>
        </is>
      </c>
      <c r="AB37" t="n">
        <v>26</v>
      </c>
      <c r="AC37" t="inlineStr">
        <is>
          <t>2026-10-05</t>
        </is>
      </c>
      <c r="AD37" t="inlineStr">
        <is>
          <t>com.logistics.rider.hungerstation</t>
        </is>
      </c>
    </row>
    <row r="38">
      <c r="X38" t="n">
        <v>5</v>
      </c>
      <c r="Y38" t="inlineStr">
        <is>
          <t>2026-10-03</t>
        </is>
      </c>
      <c r="Z38" t="inlineStr">
        <is>
          <t>com.logistics.rider.pedidosya</t>
        </is>
      </c>
      <c r="AB38" t="n">
        <v>69</v>
      </c>
      <c r="AC38" t="inlineStr">
        <is>
          <t>2026-10-05</t>
        </is>
      </c>
      <c r="AD38" t="inlineStr">
        <is>
          <t>com.logistics.rider.glovo</t>
        </is>
      </c>
    </row>
    <row r="39">
      <c r="X39" t="n">
        <v>6</v>
      </c>
      <c r="Y39" t="inlineStr">
        <is>
          <t>2026-10-04</t>
        </is>
      </c>
      <c r="Z39" t="inlineStr">
        <is>
          <t>com.logistics.rider.pedidosya</t>
        </is>
      </c>
      <c r="AB39" t="n">
        <v>3</v>
      </c>
      <c r="AC39" t="inlineStr">
        <is>
          <t>2026-10-05</t>
        </is>
      </c>
      <c r="AD39" t="inlineStr">
        <is>
          <t>com.logistics.rider.efood</t>
        </is>
      </c>
    </row>
    <row r="40">
      <c r="X40" t="n">
        <v>6</v>
      </c>
      <c r="Y40" t="inlineStr">
        <is>
          <t>2026-10-05</t>
        </is>
      </c>
      <c r="Z40" t="inlineStr">
        <is>
          <t>com.logistics.rider.pedidosya</t>
        </is>
      </c>
      <c r="AB40" t="n">
        <v>2</v>
      </c>
      <c r="AC40" t="inlineStr">
        <is>
          <t>2026-10-05</t>
        </is>
      </c>
      <c r="AD40" t="inlineStr">
        <is>
          <t>com.logistics.rider.foody</t>
        </is>
      </c>
    </row>
    <row r="41">
      <c r="X41" t="n">
        <v>8</v>
      </c>
      <c r="Y41" t="inlineStr">
        <is>
          <t>2026-10-06</t>
        </is>
      </c>
      <c r="Z41" t="inlineStr">
        <is>
          <t>com.logistics.rider.pedidosya</t>
        </is>
      </c>
      <c r="AB41" t="n">
        <v>142</v>
      </c>
      <c r="AC41" t="inlineStr">
        <is>
          <t>2026-10-06</t>
        </is>
      </c>
      <c r="AD41" t="inlineStr">
        <is>
          <t>com.logistics.rider.foodpanda</t>
        </is>
      </c>
    </row>
    <row r="42">
      <c r="X42" t="n">
        <v>5</v>
      </c>
      <c r="Y42" t="inlineStr">
        <is>
          <t>2026-10-07</t>
        </is>
      </c>
      <c r="Z42" t="inlineStr">
        <is>
          <t>com.logistics.rider.pedidosya</t>
        </is>
      </c>
      <c r="AB42" t="n">
        <v>9</v>
      </c>
      <c r="AC42" t="inlineStr">
        <is>
          <t>2026-10-06</t>
        </is>
      </c>
      <c r="AD42" t="inlineStr">
        <is>
          <t>com.logistics.rider.foodora</t>
        </is>
      </c>
    </row>
    <row r="43">
      <c r="X43" t="n">
        <v>6</v>
      </c>
      <c r="Y43" t="inlineStr">
        <is>
          <t>2026-10-08</t>
        </is>
      </c>
      <c r="Z43" t="inlineStr">
        <is>
          <t>com.logistics.rider.pedidosya</t>
        </is>
      </c>
      <c r="AB43" t="n">
        <v>67</v>
      </c>
      <c r="AC43" t="inlineStr">
        <is>
          <t>2026-10-06</t>
        </is>
      </c>
      <c r="AD43" t="inlineStr">
        <is>
          <t>com.logistics.rider.talabat</t>
        </is>
      </c>
    </row>
    <row r="44">
      <c r="X44" t="n">
        <v>7</v>
      </c>
      <c r="Y44" t="inlineStr">
        <is>
          <t>2026-10-09</t>
        </is>
      </c>
      <c r="Z44" t="inlineStr">
        <is>
          <t>com.logistics.rider.pedidosya</t>
        </is>
      </c>
      <c r="AB44" t="n">
        <v>19</v>
      </c>
      <c r="AC44" t="inlineStr">
        <is>
          <t>2026-10-06</t>
        </is>
      </c>
      <c r="AD44" t="inlineStr">
        <is>
          <t>com.logistics.rider.pedidosya</t>
        </is>
      </c>
    </row>
    <row r="45">
      <c r="X45" t="n">
        <v>6</v>
      </c>
      <c r="Y45" t="inlineStr">
        <is>
          <t>2026-10-10</t>
        </is>
      </c>
      <c r="Z45" t="inlineStr">
        <is>
          <t>com.logistics.rider.pedidosya</t>
        </is>
      </c>
      <c r="AB45" t="n">
        <v>27</v>
      </c>
      <c r="AC45" t="inlineStr">
        <is>
          <t>2026-10-06</t>
        </is>
      </c>
      <c r="AD45" t="inlineStr">
        <is>
          <t>com.logistics.rider.hungerstation</t>
        </is>
      </c>
    </row>
    <row r="46">
      <c r="X46" t="n">
        <v>4</v>
      </c>
      <c r="Y46" t="inlineStr">
        <is>
          <t>2026-10-11</t>
        </is>
      </c>
      <c r="Z46" t="inlineStr">
        <is>
          <t>com.logistics.rider.pedidosya</t>
        </is>
      </c>
      <c r="AB46" t="n">
        <v>108</v>
      </c>
      <c r="AC46" t="inlineStr">
        <is>
          <t>2026-10-06</t>
        </is>
      </c>
      <c r="AD46" t="inlineStr">
        <is>
          <t>com.logistics.rider.glovo</t>
        </is>
      </c>
    </row>
    <row r="47">
      <c r="X47" t="n">
        <v>5</v>
      </c>
      <c r="Y47" t="inlineStr">
        <is>
          <t>2026-10-12</t>
        </is>
      </c>
      <c r="Z47" t="inlineStr">
        <is>
          <t>com.logistics.rider.pedidosya</t>
        </is>
      </c>
      <c r="AB47" t="n">
        <v>3</v>
      </c>
      <c r="AC47" t="inlineStr">
        <is>
          <t>2026-10-06</t>
        </is>
      </c>
      <c r="AD47" t="inlineStr">
        <is>
          <t>com.logistics.rider.woowabros</t>
        </is>
      </c>
    </row>
    <row r="48">
      <c r="X48" t="n">
        <v>3</v>
      </c>
      <c r="Y48" t="inlineStr">
        <is>
          <t>2026-10-02</t>
        </is>
      </c>
      <c r="Z48" t="inlineStr">
        <is>
          <t>com.logistics.rider.hungerstation</t>
        </is>
      </c>
      <c r="AB48" t="n">
        <v>8</v>
      </c>
      <c r="AC48" t="inlineStr">
        <is>
          <t>2026-10-06</t>
        </is>
      </c>
      <c r="AD48" t="inlineStr">
        <is>
          <t>com.logistics.rider.efood</t>
        </is>
      </c>
    </row>
    <row r="49">
      <c r="X49" t="n">
        <v>4</v>
      </c>
      <c r="Y49" t="inlineStr">
        <is>
          <t>2026-10-03</t>
        </is>
      </c>
      <c r="Z49" t="inlineStr">
        <is>
          <t>com.logistics.rider.hungerstation</t>
        </is>
      </c>
      <c r="AB49" t="n">
        <v>3</v>
      </c>
      <c r="AC49" t="inlineStr">
        <is>
          <t>2026-10-06</t>
        </is>
      </c>
      <c r="AD49" t="inlineStr">
        <is>
          <t>com.logistics.rider.foody</t>
        </is>
      </c>
    </row>
    <row r="50">
      <c r="X50" t="n">
        <v>5</v>
      </c>
      <c r="Y50" t="inlineStr">
        <is>
          <t>2026-10-04</t>
        </is>
      </c>
      <c r="Z50" t="inlineStr">
        <is>
          <t>com.logistics.rider.hungerstation</t>
        </is>
      </c>
      <c r="AB50" t="n">
        <v>152</v>
      </c>
      <c r="AC50" t="inlineStr">
        <is>
          <t>2026-10-07</t>
        </is>
      </c>
      <c r="AD50" t="inlineStr">
        <is>
          <t>com.logistics.rider.foodpanda</t>
        </is>
      </c>
    </row>
    <row r="51">
      <c r="X51" t="n">
        <v>6</v>
      </c>
      <c r="Y51" t="inlineStr">
        <is>
          <t>2026-10-05</t>
        </is>
      </c>
      <c r="Z51" t="inlineStr">
        <is>
          <t>com.logistics.rider.hungerstation</t>
        </is>
      </c>
      <c r="AB51" t="n">
        <v>21</v>
      </c>
      <c r="AC51" t="inlineStr">
        <is>
          <t>2026-10-07</t>
        </is>
      </c>
      <c r="AD51" t="inlineStr">
        <is>
          <t>com.logistics.rider.foodora</t>
        </is>
      </c>
    </row>
    <row r="52">
      <c r="X52" t="n">
        <v>10</v>
      </c>
      <c r="Y52" t="inlineStr">
        <is>
          <t>2026-10-06</t>
        </is>
      </c>
      <c r="Z52" t="inlineStr">
        <is>
          <t>com.logistics.rider.hungerstation</t>
        </is>
      </c>
      <c r="AB52" t="n">
        <v>70</v>
      </c>
      <c r="AC52" t="inlineStr">
        <is>
          <t>2026-10-07</t>
        </is>
      </c>
      <c r="AD52" t="inlineStr">
        <is>
          <t>com.logistics.rider.talabat</t>
        </is>
      </c>
    </row>
    <row r="53">
      <c r="X53" t="n">
        <v>4</v>
      </c>
      <c r="Y53" t="inlineStr">
        <is>
          <t>2026-10-07</t>
        </is>
      </c>
      <c r="Z53" t="inlineStr">
        <is>
          <t>com.logistics.rider.hungerstation</t>
        </is>
      </c>
      <c r="AB53" t="n">
        <v>18</v>
      </c>
      <c r="AC53" t="inlineStr">
        <is>
          <t>2026-10-07</t>
        </is>
      </c>
      <c r="AD53" t="inlineStr">
        <is>
          <t>com.logistics.rider.pedidosya</t>
        </is>
      </c>
    </row>
    <row r="54">
      <c r="X54" t="n">
        <v>7</v>
      </c>
      <c r="Y54" t="inlineStr">
        <is>
          <t>2026-10-08</t>
        </is>
      </c>
      <c r="Z54" t="inlineStr">
        <is>
          <t>com.logistics.rider.hungerstation</t>
        </is>
      </c>
      <c r="AB54" t="n">
        <v>19</v>
      </c>
      <c r="AC54" t="inlineStr">
        <is>
          <t>2026-10-07</t>
        </is>
      </c>
      <c r="AD54" t="inlineStr">
        <is>
          <t>com.logistics.rider.hungerstation</t>
        </is>
      </c>
    </row>
    <row r="55">
      <c r="X55" t="n">
        <v>3</v>
      </c>
      <c r="Y55" t="inlineStr">
        <is>
          <t>2026-10-09</t>
        </is>
      </c>
      <c r="Z55" t="inlineStr">
        <is>
          <t>com.logistics.rider.hungerstation</t>
        </is>
      </c>
      <c r="AB55" t="n">
        <v>97</v>
      </c>
      <c r="AC55" t="inlineStr">
        <is>
          <t>2026-10-07</t>
        </is>
      </c>
      <c r="AD55" t="inlineStr">
        <is>
          <t>com.logistics.rider.glovo</t>
        </is>
      </c>
    </row>
    <row r="56">
      <c r="X56" t="n">
        <v>6</v>
      </c>
      <c r="Y56" t="inlineStr">
        <is>
          <t>2026-10-10</t>
        </is>
      </c>
      <c r="Z56" t="inlineStr">
        <is>
          <t>com.logistics.rider.hungerstation</t>
        </is>
      </c>
      <c r="AB56" t="n">
        <v>9</v>
      </c>
      <c r="AC56" t="inlineStr">
        <is>
          <t>2026-10-07</t>
        </is>
      </c>
      <c r="AD56" t="inlineStr">
        <is>
          <t>com.logistics.rider.efood</t>
        </is>
      </c>
    </row>
    <row r="57">
      <c r="X57" t="n">
        <v>2</v>
      </c>
      <c r="Y57" t="inlineStr">
        <is>
          <t>2026-10-11</t>
        </is>
      </c>
      <c r="Z57" t="inlineStr">
        <is>
          <t>com.logistics.rider.hungerstation</t>
        </is>
      </c>
      <c r="AB57" t="n">
        <v>161</v>
      </c>
      <c r="AC57" t="inlineStr">
        <is>
          <t>2026-10-08</t>
        </is>
      </c>
      <c r="AD57" t="inlineStr">
        <is>
          <t>com.logistics.rider.foodpanda</t>
        </is>
      </c>
    </row>
    <row r="58">
      <c r="X58" t="n">
        <v>2</v>
      </c>
      <c r="Y58" t="inlineStr">
        <is>
          <t>2026-10-12</t>
        </is>
      </c>
      <c r="Z58" t="inlineStr">
        <is>
          <t>com.logistics.rider.hungerstation</t>
        </is>
      </c>
      <c r="AB58" t="n">
        <v>15</v>
      </c>
      <c r="AC58" t="inlineStr">
        <is>
          <t>2026-10-08</t>
        </is>
      </c>
      <c r="AD58" t="inlineStr">
        <is>
          <t>com.logistics.rider.foodora</t>
        </is>
      </c>
    </row>
    <row r="59">
      <c r="X59" t="n">
        <v>2</v>
      </c>
      <c r="Y59" t="inlineStr">
        <is>
          <t>2026-10-01</t>
        </is>
      </c>
      <c r="Z59" t="inlineStr">
        <is>
          <t>com.logistics.rider.glovo</t>
        </is>
      </c>
      <c r="AB59" t="n">
        <v>79</v>
      </c>
      <c r="AC59" t="inlineStr">
        <is>
          <t>2026-10-08</t>
        </is>
      </c>
      <c r="AD59" t="inlineStr">
        <is>
          <t>com.logistics.rider.talabat</t>
        </is>
      </c>
    </row>
    <row r="60">
      <c r="X60" t="n">
        <v>5</v>
      </c>
      <c r="Y60" t="inlineStr">
        <is>
          <t>2026-10-02</t>
        </is>
      </c>
      <c r="Z60" t="inlineStr">
        <is>
          <t>com.logistics.rider.glovo</t>
        </is>
      </c>
      <c r="AB60" t="n">
        <v>20</v>
      </c>
      <c r="AC60" t="inlineStr">
        <is>
          <t>2026-10-08</t>
        </is>
      </c>
      <c r="AD60" t="inlineStr">
        <is>
          <t>com.logistics.rider.pedidosya</t>
        </is>
      </c>
    </row>
    <row r="61">
      <c r="X61" t="n">
        <v>15</v>
      </c>
      <c r="Y61" t="inlineStr">
        <is>
          <t>2026-10-03</t>
        </is>
      </c>
      <c r="Z61" t="inlineStr">
        <is>
          <t>com.logistics.rider.glovo</t>
        </is>
      </c>
      <c r="AB61" t="n">
        <v>19</v>
      </c>
      <c r="AC61" t="inlineStr">
        <is>
          <t>2026-10-08</t>
        </is>
      </c>
      <c r="AD61" t="inlineStr">
        <is>
          <t>com.logistics.rider.hungerstation</t>
        </is>
      </c>
    </row>
    <row r="62">
      <c r="X62" t="n">
        <v>27</v>
      </c>
      <c r="Y62" t="inlineStr">
        <is>
          <t>2026-10-04</t>
        </is>
      </c>
      <c r="Z62" t="inlineStr">
        <is>
          <t>com.logistics.rider.glovo</t>
        </is>
      </c>
      <c r="AB62" t="n">
        <v>115</v>
      </c>
      <c r="AC62" t="inlineStr">
        <is>
          <t>2026-10-08</t>
        </is>
      </c>
      <c r="AD62" t="inlineStr">
        <is>
          <t>com.logistics.rider.glovo</t>
        </is>
      </c>
    </row>
    <row r="63">
      <c r="X63" t="n">
        <v>10</v>
      </c>
      <c r="Y63" t="inlineStr">
        <is>
          <t>2026-10-05</t>
        </is>
      </c>
      <c r="Z63" t="inlineStr">
        <is>
          <t>com.logistics.rider.glovo</t>
        </is>
      </c>
      <c r="AB63" t="n">
        <v>8</v>
      </c>
      <c r="AC63" t="inlineStr">
        <is>
          <t>2026-10-08</t>
        </is>
      </c>
      <c r="AD63" t="inlineStr">
        <is>
          <t>com.logistics.rider.efood</t>
        </is>
      </c>
    </row>
    <row r="64">
      <c r="X64" t="n">
        <v>19</v>
      </c>
      <c r="Y64" t="inlineStr">
        <is>
          <t>2026-10-06</t>
        </is>
      </c>
      <c r="Z64" t="inlineStr">
        <is>
          <t>com.logistics.rider.glovo</t>
        </is>
      </c>
      <c r="AB64" t="n">
        <v>195</v>
      </c>
      <c r="AC64" t="inlineStr">
        <is>
          <t>2026-10-09</t>
        </is>
      </c>
      <c r="AD64" t="inlineStr">
        <is>
          <t>com.logistics.rider.foodpanda</t>
        </is>
      </c>
    </row>
    <row r="65">
      <c r="X65" t="n">
        <v>26</v>
      </c>
      <c r="Y65" t="inlineStr">
        <is>
          <t>2026-10-07</t>
        </is>
      </c>
      <c r="Z65" t="inlineStr">
        <is>
          <t>com.logistics.rider.glovo</t>
        </is>
      </c>
      <c r="AB65" t="n">
        <v>14</v>
      </c>
      <c r="AC65" t="inlineStr">
        <is>
          <t>2026-10-09</t>
        </is>
      </c>
      <c r="AD65" t="inlineStr">
        <is>
          <t>com.logistics.rider.foodora</t>
        </is>
      </c>
    </row>
    <row r="66">
      <c r="X66" t="n">
        <v>26</v>
      </c>
      <c r="Y66" t="inlineStr">
        <is>
          <t>2026-10-08</t>
        </is>
      </c>
      <c r="Z66" t="inlineStr">
        <is>
          <t>com.logistics.rider.glovo</t>
        </is>
      </c>
      <c r="AB66" t="n">
        <v>60</v>
      </c>
      <c r="AC66" t="inlineStr">
        <is>
          <t>2026-10-09</t>
        </is>
      </c>
      <c r="AD66" t="inlineStr">
        <is>
          <t>com.logistics.rider.talabat</t>
        </is>
      </c>
    </row>
    <row r="67">
      <c r="X67" t="n">
        <v>37</v>
      </c>
      <c r="Y67" t="inlineStr">
        <is>
          <t>2026-10-09</t>
        </is>
      </c>
      <c r="Z67" t="inlineStr">
        <is>
          <t>com.logistics.rider.glovo</t>
        </is>
      </c>
      <c r="AB67" t="n">
        <v>23</v>
      </c>
      <c r="AC67" t="inlineStr">
        <is>
          <t>2026-10-09</t>
        </is>
      </c>
      <c r="AD67" t="inlineStr">
        <is>
          <t>com.logistics.rider.pedidosya</t>
        </is>
      </c>
    </row>
    <row r="68">
      <c r="X68" t="n">
        <v>22</v>
      </c>
      <c r="Y68" t="inlineStr">
        <is>
          <t>2026-10-10</t>
        </is>
      </c>
      <c r="Z68" t="inlineStr">
        <is>
          <t>com.logistics.rider.glovo</t>
        </is>
      </c>
      <c r="AB68" t="n">
        <v>23</v>
      </c>
      <c r="AC68" t="inlineStr">
        <is>
          <t>2026-10-09</t>
        </is>
      </c>
      <c r="AD68" t="inlineStr">
        <is>
          <t>com.logistics.rider.hungerstation</t>
        </is>
      </c>
    </row>
    <row r="69">
      <c r="X69" t="n">
        <v>23</v>
      </c>
      <c r="Y69" t="inlineStr">
        <is>
          <t>2026-10-11</t>
        </is>
      </c>
      <c r="Z69" t="inlineStr">
        <is>
          <t>com.logistics.rider.glovo</t>
        </is>
      </c>
      <c r="AB69" t="n">
        <v>110</v>
      </c>
      <c r="AC69" t="inlineStr">
        <is>
          <t>2026-10-09</t>
        </is>
      </c>
      <c r="AD69" t="inlineStr">
        <is>
          <t>com.logistics.rider.glovo</t>
        </is>
      </c>
    </row>
    <row r="70">
      <c r="X70" t="n">
        <v>18</v>
      </c>
      <c r="Y70" t="inlineStr">
        <is>
          <t>2026-10-12</t>
        </is>
      </c>
      <c r="Z70" t="inlineStr">
        <is>
          <t>com.logistics.rider.glovo</t>
        </is>
      </c>
      <c r="AB70" t="n">
        <v>14</v>
      </c>
      <c r="AC70" t="inlineStr">
        <is>
          <t>2026-10-09</t>
        </is>
      </c>
      <c r="AD70" t="inlineStr">
        <is>
          <t>com.logistics.rider.efood</t>
        </is>
      </c>
    </row>
    <row r="71">
      <c r="X71" t="n">
        <v>1</v>
      </c>
      <c r="Y71" t="inlineStr">
        <is>
          <t>2026-10-02</t>
        </is>
      </c>
      <c r="Z71" t="inlineStr">
        <is>
          <t>com.logistics.rider.woowabros</t>
        </is>
      </c>
      <c r="AB71" t="n">
        <v>1</v>
      </c>
      <c r="AC71" t="inlineStr">
        <is>
          <t>2026-10-09</t>
        </is>
      </c>
      <c r="AD71" t="inlineStr">
        <is>
          <t>com.logistics.rider.foody</t>
        </is>
      </c>
    </row>
    <row r="72">
      <c r="X72" t="n">
        <v>2</v>
      </c>
      <c r="Y72" t="inlineStr">
        <is>
          <t>2026-10-02</t>
        </is>
      </c>
      <c r="Z72" t="inlineStr">
        <is>
          <t>com.logistics.rider.efood</t>
        </is>
      </c>
      <c r="AB72" t="n">
        <v>134</v>
      </c>
      <c r="AC72" t="inlineStr">
        <is>
          <t>2026-10-10</t>
        </is>
      </c>
      <c r="AD72" t="inlineStr">
        <is>
          <t>com.logistics.rider.foodpanda</t>
        </is>
      </c>
    </row>
    <row r="73">
      <c r="X73" t="n">
        <v>3</v>
      </c>
      <c r="Y73" t="inlineStr">
        <is>
          <t>2026-10-03</t>
        </is>
      </c>
      <c r="Z73" t="inlineStr">
        <is>
          <t>com.logistics.rider.efood</t>
        </is>
      </c>
      <c r="AB73" t="n">
        <v>13</v>
      </c>
      <c r="AC73" t="inlineStr">
        <is>
          <t>2026-10-10</t>
        </is>
      </c>
      <c r="AD73" t="inlineStr">
        <is>
          <t>com.logistics.rider.foodora</t>
        </is>
      </c>
    </row>
    <row r="74">
      <c r="X74" t="n">
        <v>5</v>
      </c>
      <c r="Y74" t="inlineStr">
        <is>
          <t>2026-10-05</t>
        </is>
      </c>
      <c r="Z74" t="inlineStr">
        <is>
          <t>com.logistics.rider.efood</t>
        </is>
      </c>
      <c r="AB74" t="n">
        <v>50</v>
      </c>
      <c r="AC74" t="inlineStr">
        <is>
          <t>2026-10-10</t>
        </is>
      </c>
      <c r="AD74" t="inlineStr">
        <is>
          <t>com.logistics.rider.talabat</t>
        </is>
      </c>
    </row>
    <row r="75">
      <c r="X75" t="n">
        <v>4</v>
      </c>
      <c r="Y75" t="inlineStr">
        <is>
          <t>2026-10-06</t>
        </is>
      </c>
      <c r="Z75" t="inlineStr">
        <is>
          <t>com.logistics.rider.efood</t>
        </is>
      </c>
      <c r="AB75" t="n">
        <v>17</v>
      </c>
      <c r="AC75" t="inlineStr">
        <is>
          <t>2026-10-10</t>
        </is>
      </c>
      <c r="AD75" t="inlineStr">
        <is>
          <t>com.logistics.rider.pedidosya</t>
        </is>
      </c>
    </row>
    <row r="76">
      <c r="X76" t="n">
        <v>1</v>
      </c>
      <c r="Y76" t="inlineStr">
        <is>
          <t>2026-10-07</t>
        </is>
      </c>
      <c r="Z76" t="inlineStr">
        <is>
          <t>com.logistics.rider.efood</t>
        </is>
      </c>
      <c r="AB76" t="n">
        <v>14</v>
      </c>
      <c r="AC76" t="inlineStr">
        <is>
          <t>2026-10-10</t>
        </is>
      </c>
      <c r="AD76" t="inlineStr">
        <is>
          <t>com.logistics.rider.hungerstation</t>
        </is>
      </c>
    </row>
    <row r="77">
      <c r="X77" t="n">
        <v>3</v>
      </c>
      <c r="Y77" t="inlineStr">
        <is>
          <t>2026-10-08</t>
        </is>
      </c>
      <c r="Z77" t="inlineStr">
        <is>
          <t>com.logistics.rider.efood</t>
        </is>
      </c>
      <c r="AB77" t="n">
        <v>110</v>
      </c>
      <c r="AC77" t="inlineStr">
        <is>
          <t>2026-10-10</t>
        </is>
      </c>
      <c r="AD77" t="inlineStr">
        <is>
          <t>com.logistics.rider.glovo</t>
        </is>
      </c>
    </row>
    <row r="78">
      <c r="X78" t="n">
        <v>4</v>
      </c>
      <c r="Y78" t="inlineStr">
        <is>
          <t>2026-10-09</t>
        </is>
      </c>
      <c r="Z78" t="inlineStr">
        <is>
          <t>com.logistics.rider.efood</t>
        </is>
      </c>
      <c r="AB78" t="n">
        <v>8</v>
      </c>
      <c r="AC78" t="inlineStr">
        <is>
          <t>2026-10-10</t>
        </is>
      </c>
      <c r="AD78" t="inlineStr">
        <is>
          <t>com.logistics.rider.efood</t>
        </is>
      </c>
    </row>
    <row r="79">
      <c r="X79" t="n">
        <v>4</v>
      </c>
      <c r="Y79" t="inlineStr">
        <is>
          <t>2026-10-10</t>
        </is>
      </c>
      <c r="Z79" t="inlineStr">
        <is>
          <t>com.logistics.rider.efood</t>
        </is>
      </c>
      <c r="AB79" t="n">
        <v>125</v>
      </c>
      <c r="AC79" t="inlineStr">
        <is>
          <t>2026-10-11</t>
        </is>
      </c>
      <c r="AD79" t="inlineStr">
        <is>
          <t>com.logistics.rider.foodpanda</t>
        </is>
      </c>
    </row>
    <row r="80">
      <c r="X80" t="n">
        <v>6</v>
      </c>
      <c r="Y80" t="inlineStr">
        <is>
          <t>2026-10-11</t>
        </is>
      </c>
      <c r="Z80" t="inlineStr">
        <is>
          <t>com.logistics.rider.efood</t>
        </is>
      </c>
      <c r="AB80" t="n">
        <v>5</v>
      </c>
      <c r="AC80" t="inlineStr">
        <is>
          <t>2026-10-11</t>
        </is>
      </c>
      <c r="AD80" t="inlineStr">
        <is>
          <t>com.logistics.rider.foodora</t>
        </is>
      </c>
    </row>
    <row r="81">
      <c r="X81" t="n">
        <v>9</v>
      </c>
      <c r="Y81" t="inlineStr">
        <is>
          <t>2026-10-12</t>
        </is>
      </c>
      <c r="Z81" t="inlineStr">
        <is>
          <t>com.logistics.rider.efood</t>
        </is>
      </c>
      <c r="AB81" t="n">
        <v>34</v>
      </c>
      <c r="AC81" t="inlineStr">
        <is>
          <t>2026-10-11</t>
        </is>
      </c>
      <c r="AD81" t="inlineStr">
        <is>
          <t>com.logistics.rider.talabat</t>
        </is>
      </c>
    </row>
    <row r="82">
      <c r="X82" t="n">
        <v>1</v>
      </c>
      <c r="Y82" t="inlineStr">
        <is>
          <t>2026-10-04</t>
        </is>
      </c>
      <c r="Z82" t="inlineStr">
        <is>
          <t>com.logistics.rider.foody</t>
        </is>
      </c>
      <c r="AB82" t="n">
        <v>15</v>
      </c>
      <c r="AC82" t="inlineStr">
        <is>
          <t>2026-10-11</t>
        </is>
      </c>
      <c r="AD82" t="inlineStr">
        <is>
          <t>com.logistics.rider.pedidosya</t>
        </is>
      </c>
    </row>
    <row r="83">
      <c r="X83" t="n">
        <v>1</v>
      </c>
      <c r="Y83" t="inlineStr">
        <is>
          <t>2026-10-07</t>
        </is>
      </c>
      <c r="Z83" t="inlineStr">
        <is>
          <t>com.logistics.rider.foody</t>
        </is>
      </c>
      <c r="AB83" t="n">
        <v>11</v>
      </c>
      <c r="AC83" t="inlineStr">
        <is>
          <t>2026-10-11</t>
        </is>
      </c>
      <c r="AD83" t="inlineStr">
        <is>
          <t>com.logistics.rider.hungerstation</t>
        </is>
      </c>
    </row>
    <row r="84">
      <c r="AB84" t="n">
        <v>91</v>
      </c>
      <c r="AC84" t="inlineStr">
        <is>
          <t>2026-10-11</t>
        </is>
      </c>
      <c r="AD84" t="inlineStr">
        <is>
          <t>com.logistics.rider.glovo</t>
        </is>
      </c>
    </row>
    <row r="85">
      <c r="AB85" t="n">
        <v>9</v>
      </c>
      <c r="AC85" t="inlineStr">
        <is>
          <t>2026-10-11</t>
        </is>
      </c>
      <c r="AD85" t="inlineStr">
        <is>
          <t>com.logistics.rider.efood</t>
        </is>
      </c>
    </row>
    <row r="86">
      <c r="AB86" t="n">
        <v>1</v>
      </c>
      <c r="AC86" t="inlineStr">
        <is>
          <t>2026-10-11</t>
        </is>
      </c>
      <c r="AD86" t="inlineStr">
        <is>
          <t>com.logistics.rider.foody</t>
        </is>
      </c>
    </row>
    <row r="87">
      <c r="AB87" t="n">
        <v>82</v>
      </c>
      <c r="AC87" t="inlineStr">
        <is>
          <t>2026-10-12</t>
        </is>
      </c>
      <c r="AD87" t="inlineStr">
        <is>
          <t>com.logistics.rider.foodpanda</t>
        </is>
      </c>
    </row>
    <row r="88">
      <c r="AB88" t="n">
        <v>9</v>
      </c>
      <c r="AC88" t="inlineStr">
        <is>
          <t>2026-10-12</t>
        </is>
      </c>
      <c r="AD88" t="inlineStr">
        <is>
          <t>com.logistics.rider.foodora</t>
        </is>
      </c>
    </row>
    <row r="89">
      <c r="AB89" t="n">
        <v>36</v>
      </c>
      <c r="AC89" t="inlineStr">
        <is>
          <t>2026-10-12</t>
        </is>
      </c>
      <c r="AD89" t="inlineStr">
        <is>
          <t>com.logistics.rider.talabat</t>
        </is>
      </c>
    </row>
    <row r="90">
      <c r="AB90" t="n">
        <v>7</v>
      </c>
      <c r="AC90" t="inlineStr">
        <is>
          <t>2026-10-12</t>
        </is>
      </c>
      <c r="AD90" t="inlineStr">
        <is>
          <t>com.logistics.rider.pedidosya</t>
        </is>
      </c>
    </row>
    <row r="91">
      <c r="AB91" t="n">
        <v>4</v>
      </c>
      <c r="AC91" t="inlineStr">
        <is>
          <t>2026-10-12</t>
        </is>
      </c>
      <c r="AD91" t="inlineStr">
        <is>
          <t>com.logistics.rider.hungerstation</t>
        </is>
      </c>
    </row>
    <row r="92">
      <c r="AB92" t="n">
        <v>79</v>
      </c>
      <c r="AC92" t="inlineStr">
        <is>
          <t>2026-10-12</t>
        </is>
      </c>
      <c r="AD92" t="inlineStr">
        <is>
          <t>com.logistics.rider.glovo</t>
        </is>
      </c>
    </row>
    <row r="93">
      <c r="AB93" t="n">
        <v>1</v>
      </c>
      <c r="AC93" t="inlineStr">
        <is>
          <t>2026-10-12</t>
        </is>
      </c>
      <c r="AD93" t="inlineStr">
        <is>
          <t>com.logistics.rider.woowabros</t>
        </is>
      </c>
    </row>
    <row r="94">
      <c r="AB94" t="n">
        <v>9</v>
      </c>
      <c r="AC94" t="inlineStr">
        <is>
          <t>2026-10-12</t>
        </is>
      </c>
      <c r="AD94" t="inlineStr">
        <is>
          <t>com.logistics.rider.efood</t>
        </is>
      </c>
    </row>
  </sheetData>
  <dataValidations count="1">
    <dataValidation sqref="B10" showDropDown="0" showInputMessage="0" showErrorMessage="0" allowBlank="0" type="list">
      <formula1>"foodora,woowa,foodpanda,talabat,efood,glovo,hungerstation,yemek,foody,pedidosya"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5" customWidth="1" min="9" max="9"/>
    <col width="16" customWidth="1" min="10" max="10"/>
  </cols>
  <sheetData>
    <row r="1" ht="40" customHeight="1">
      <c r="A1" s="1" t="inlineStr">
        <is>
          <t>Brand</t>
        </is>
      </c>
      <c r="B1" s="1" t="inlineStr">
        <is>
          <t>Crash free users</t>
        </is>
      </c>
      <c r="C1" s="1" t="inlineStr">
        <is>
          <t>App Hangs</t>
        </is>
      </c>
      <c r="D1" s="1" t="inlineStr">
        <is>
          <t>App size</t>
        </is>
      </c>
      <c r="E1" s="1" t="inlineStr">
        <is>
          <t>ASTI</t>
        </is>
      </c>
      <c r="F1" s="1" t="inlineStr">
        <is>
          <t>STTI</t>
        </is>
      </c>
      <c r="G1" s="1" t="inlineStr">
        <is>
          <t>Frozen Frames</t>
        </is>
      </c>
      <c r="H1" s="1" t="inlineStr">
        <is>
          <t>Skipped Frames</t>
        </is>
      </c>
      <c r="I1" s="2" t="inlineStr">
        <is>
          <t>Riders count</t>
        </is>
      </c>
      <c r="J1" s="2" t="inlineStr">
        <is>
          <t>Weight Rider ID</t>
        </is>
      </c>
    </row>
    <row r="2">
      <c r="A2" s="3" t="inlineStr">
        <is>
          <t>Foodpanda</t>
        </is>
      </c>
      <c r="B2" s="4">
        <f>TRUNC(MAX(0,MIN(100,(1-SUMIFS('v4.2640.3'!$X:$X,'v4.2640.3'!$Z:$Z,"*"&amp;$A2&amp;"*")/IF(SUMIFS('v4.2640.3'!$V:$V,'v4.2640.3'!$U:$U,"*"&amp;$A2&amp;"*")&gt;0,SUMIFS('v4.2640.3'!$V:$V,'v4.2640.3'!$U:$U,"*"&amp;$A2&amp;"*"),I2*31))*100)),2)</f>
        <v/>
      </c>
      <c r="C2" s="4">
        <f>TRUNC(MAX(0,MIN(100,(1-SUMIFS('v4.2640.3'!$AB:$AB,'v4.2640.3'!$AD:$AD,"*"&amp;$A2&amp;"*")/IF(SUMIFS('v4.2640.3'!$V:$V,'v4.2640.3'!$U:$U,"*"&amp;$A2&amp;"*")&gt;0,SUMIFS('v4.2640.3'!$V:$V,'v4.2640.3'!$U:$U,"*"&amp;$A2&amp;"*"),I2*31))*100)),2)</f>
        <v/>
      </c>
      <c r="D2" s="4" t="n">
        <v>77.8</v>
      </c>
      <c r="E2" s="4" t="n">
        <v>4.34</v>
      </c>
      <c r="F2" s="4" t="n">
        <v>0.988</v>
      </c>
      <c r="G2" s="4" t="n">
        <v>1.2</v>
      </c>
      <c r="H2" s="4" t="n">
        <v>0.57</v>
      </c>
      <c r="I2" s="4" t="n">
        <v>78203</v>
      </c>
      <c r="J2" s="5" t="n">
        <v>0.3966</v>
      </c>
    </row>
    <row r="3">
      <c r="A3" s="6" t="inlineStr">
        <is>
          <t>Foodora</t>
        </is>
      </c>
      <c r="B3" s="7">
        <f>TRUNC(MAX(0,MIN(100,(1-SUMIFS('v4.2640.3'!$X:$X,'v4.2640.3'!$Z:$Z,"*"&amp;$A3&amp;"*")/IF(SUMIFS('v4.2640.3'!$V:$V,'v4.2640.3'!$U:$U,"*"&amp;$A3&amp;"*")&gt;0,SUMIFS('v4.2640.3'!$V:$V,'v4.2640.3'!$U:$U,"*"&amp;$A3&amp;"*"),I3*31))*100)),2)</f>
        <v/>
      </c>
      <c r="C3" s="7">
        <f>TRUNC(MAX(0,MIN(100,(1-SUMIFS('v4.2640.3'!$AB:$AB,'v4.2640.3'!$AD:$AD,"*"&amp;$A3&amp;"*")/IF(SUMIFS('v4.2640.3'!$V:$V,'v4.2640.3'!$U:$U,"*"&amp;$A3&amp;"*")&gt;0,SUMIFS('v4.2640.3'!$V:$V,'v4.2640.3'!$U:$U,"*"&amp;$A3&amp;"*"),I3*31))*100)),2)</f>
        <v/>
      </c>
      <c r="D3" s="7" t="n">
        <v>83.2</v>
      </c>
      <c r="E3" s="7" t="n">
        <v>4.34</v>
      </c>
      <c r="F3" s="7" t="n">
        <v>0.988</v>
      </c>
      <c r="G3" s="7" t="n">
        <v>1.2</v>
      </c>
      <c r="H3" s="7" t="n">
        <v>0.57</v>
      </c>
      <c r="I3" s="7" t="n">
        <v>14946</v>
      </c>
      <c r="J3" s="8" t="n">
        <v>0.07580000000000001</v>
      </c>
    </row>
    <row r="4">
      <c r="A4" s="3" t="inlineStr">
        <is>
          <t>Talabat</t>
        </is>
      </c>
      <c r="B4" s="4">
        <f>TRUNC(MAX(0,MIN(100,(1-SUMIFS('v4.2640.3'!$X:$X,'v4.2640.3'!$Z:$Z,"*"&amp;$A4&amp;"*")/IF(SUMIFS('v4.2640.3'!$V:$V,'v4.2640.3'!$U:$U,"*"&amp;$A4&amp;"*")&gt;0,SUMIFS('v4.2640.3'!$V:$V,'v4.2640.3'!$U:$U,"*"&amp;$A4&amp;"*"),I4*31))*100)),2)</f>
        <v/>
      </c>
      <c r="C4" s="4">
        <f>TRUNC(MAX(0,MIN(100,(1-SUMIFS('v4.2640.3'!$AB:$AB,'v4.2640.3'!$AD:$AD,"*"&amp;$A4&amp;"*")/IF(SUMIFS('v4.2640.3'!$V:$V,'v4.2640.3'!$U:$U,"*"&amp;$A4&amp;"*")&gt;0,SUMIFS('v4.2640.3'!$V:$V,'v4.2640.3'!$U:$U,"*"&amp;$A4&amp;"*"),I4*31))*100)),2)</f>
        <v/>
      </c>
      <c r="D4" s="4" t="n">
        <v>77.8</v>
      </c>
      <c r="E4" s="4" t="n">
        <v>4.34</v>
      </c>
      <c r="F4" s="4" t="n">
        <v>0.988</v>
      </c>
      <c r="G4" s="4" t="n">
        <v>1.2</v>
      </c>
      <c r="H4" s="4" t="n">
        <v>0.57</v>
      </c>
      <c r="I4" s="4" t="n">
        <v>16988</v>
      </c>
      <c r="J4" s="5" t="n">
        <v>0.0861</v>
      </c>
    </row>
    <row r="5">
      <c r="A5" s="6" t="inlineStr">
        <is>
          <t>pedidosya</t>
        </is>
      </c>
      <c r="B5" s="7">
        <f>TRUNC(MAX(0,MIN(100,(1-SUMIFS('v4.2640.3'!$X:$X,'v4.2640.3'!$Z:$Z,"*"&amp;$A5&amp;"*")/IF(SUMIFS('v4.2640.3'!$V:$V,'v4.2640.3'!$U:$U,"*"&amp;$A5&amp;"*")&gt;0,SUMIFS('v4.2640.3'!$V:$V,'v4.2640.3'!$U:$U,"*"&amp;$A5&amp;"*"),I5*31))*100)),2)</f>
        <v/>
      </c>
      <c r="C5" s="7">
        <f>TRUNC(MAX(0,MIN(100,(1-SUMIFS('v4.2640.3'!$AB:$AB,'v4.2640.3'!$AD:$AD,"*"&amp;$A5&amp;"*")/IF(SUMIFS('v4.2640.3'!$V:$V,'v4.2640.3'!$U:$U,"*"&amp;$A5&amp;"*")&gt;0,SUMIFS('v4.2640.3'!$V:$V,'v4.2640.3'!$U:$U,"*"&amp;$A5&amp;"*"),I5*31))*100)),2)</f>
        <v/>
      </c>
      <c r="D5" s="7" t="n">
        <v>68.40000000000001</v>
      </c>
      <c r="E5" s="7" t="n">
        <v>4.34</v>
      </c>
      <c r="F5" s="7" t="n">
        <v>0.988</v>
      </c>
      <c r="G5" s="7" t="n">
        <v>1.2</v>
      </c>
      <c r="H5" s="7" t="n">
        <v>0.57</v>
      </c>
      <c r="I5" s="7" t="n">
        <v>20641</v>
      </c>
      <c r="J5" s="8" t="n">
        <v>0.1047</v>
      </c>
    </row>
    <row r="6">
      <c r="A6" s="3" t="inlineStr">
        <is>
          <t>HungerStation</t>
        </is>
      </c>
      <c r="B6" s="4">
        <f>TRUNC(MAX(0,MIN(100,(1-SUMIFS('v4.2640.3'!$X:$X,'v4.2640.3'!$Z:$Z,"*"&amp;$A6&amp;"*")/IF(SUMIFS('v4.2640.3'!$V:$V,'v4.2640.3'!$U:$U,"*"&amp;$A6&amp;"*")&gt;0,SUMIFS('v4.2640.3'!$V:$V,'v4.2640.3'!$U:$U,"*"&amp;$A6&amp;"*"),I6*31))*100)),2)</f>
        <v/>
      </c>
      <c r="C6" s="4">
        <f>TRUNC(MAX(0,MIN(100,(1-SUMIFS('v4.2640.3'!$AB:$AB,'v4.2640.3'!$AD:$AD,"*"&amp;$A6&amp;"*")/IF(SUMIFS('v4.2640.3'!$V:$V,'v4.2640.3'!$U:$U,"*"&amp;$A6&amp;"*")&gt;0,SUMIFS('v4.2640.3'!$V:$V,'v4.2640.3'!$U:$U,"*"&amp;$A6&amp;"*"),I6*31))*100)),2)</f>
        <v/>
      </c>
      <c r="D6" s="4" t="n">
        <v>78.3</v>
      </c>
      <c r="E6" s="4" t="n">
        <v>4.34</v>
      </c>
      <c r="F6" s="4" t="n">
        <v>0.988</v>
      </c>
      <c r="G6" s="4" t="n">
        <v>1.2</v>
      </c>
      <c r="H6" s="4" t="n">
        <v>0.57</v>
      </c>
      <c r="I6" s="4" t="n">
        <v>10630</v>
      </c>
      <c r="J6" s="5" t="n">
        <v>0.0539</v>
      </c>
    </row>
    <row r="7">
      <c r="A7" s="6" t="inlineStr">
        <is>
          <t>Yemeksepeti</t>
        </is>
      </c>
      <c r="B7" s="7">
        <f>TRUNC(MAX(0,MIN(100,(1-SUMIFS('v4.2640.3'!$X:$X,'v4.2640.3'!$Z:$Z,"*"&amp;$A7&amp;"*")/IF(SUMIFS('v4.2640.3'!$V:$V,'v4.2640.3'!$U:$U,"*"&amp;$A7&amp;"*")&gt;0,SUMIFS('v4.2640.3'!$V:$V,'v4.2640.3'!$U:$U,"*"&amp;$A7&amp;"*"),I7*31))*100)),2)</f>
        <v/>
      </c>
      <c r="C7" s="7">
        <f>TRUNC(MAX(0,MIN(100,(1-SUMIFS('v4.2640.3'!$AB:$AB,'v4.2640.3'!$AD:$AD,"*"&amp;$A7&amp;"*")/IF(SUMIFS('v4.2640.3'!$V:$V,'v4.2640.3'!$U:$U,"*"&amp;$A7&amp;"*")&gt;0,SUMIFS('v4.2640.3'!$V:$V,'v4.2640.3'!$U:$U,"*"&amp;$A7&amp;"*"),I7*31))*100)),2)</f>
        <v/>
      </c>
      <c r="D7" s="7" t="n">
        <v>78.3</v>
      </c>
      <c r="E7" s="7" t="n">
        <v>4.34</v>
      </c>
      <c r="F7" s="7" t="n">
        <v>0.988</v>
      </c>
      <c r="G7" s="7" t="n">
        <v>1.2</v>
      </c>
      <c r="H7" s="7" t="n">
        <v>0.57</v>
      </c>
      <c r="I7" s="7" t="n">
        <v>2186</v>
      </c>
      <c r="J7" s="8" t="n">
        <v>0.0111</v>
      </c>
    </row>
    <row r="8">
      <c r="A8" s="3" t="inlineStr">
        <is>
          <t>Glovo</t>
        </is>
      </c>
      <c r="B8" s="4">
        <f>TRUNC(MAX(0,MIN(100,(1-SUMIFS('v4.2640.3'!$X:$X,'v4.2640.3'!$Z:$Z,"*"&amp;$A8&amp;"*")/IF(SUMIFS('v4.2640.3'!$V:$V,'v4.2640.3'!$U:$U,"*"&amp;$A8&amp;"*")&gt;0,SUMIFS('v4.2640.3'!$V:$V,'v4.2640.3'!$U:$U,"*"&amp;$A8&amp;"*"),I8*31))*100)),2)</f>
        <v/>
      </c>
      <c r="C8" s="4">
        <f>TRUNC(MAX(0,MIN(100,(1-SUMIFS('v4.2640.3'!$AB:$AB,'v4.2640.3'!$AD:$AD,"*"&amp;$A8&amp;"*")/IF(SUMIFS('v4.2640.3'!$V:$V,'v4.2640.3'!$U:$U,"*"&amp;$A8&amp;"*")&gt;0,SUMIFS('v4.2640.3'!$V:$V,'v4.2640.3'!$U:$U,"*"&amp;$A8&amp;"*"),I8*31))*100)),2)</f>
        <v/>
      </c>
      <c r="D8" s="4" t="n">
        <v>77.90000000000001</v>
      </c>
      <c r="E8" s="4" t="n">
        <v>4.34</v>
      </c>
      <c r="F8" s="4" t="n">
        <v>0.988</v>
      </c>
      <c r="G8" s="4" t="n">
        <v>1.2</v>
      </c>
      <c r="H8" s="4" t="n">
        <v>0.57</v>
      </c>
      <c r="I8" s="4" t="n">
        <v>46896</v>
      </c>
      <c r="J8" s="5" t="n">
        <v>0.2378</v>
      </c>
    </row>
    <row r="9">
      <c r="A9" s="6" t="inlineStr">
        <is>
          <t>Woowa</t>
        </is>
      </c>
      <c r="B9" s="7">
        <f>TRUNC(MAX(0,MIN(100,(1-SUMIFS('v4.2640.3'!$X:$X,'v4.2640.3'!$Z:$Z,"*"&amp;$A9&amp;"*")/IF(SUMIFS('v4.2640.3'!$V:$V,'v4.2640.3'!$U:$U,"*"&amp;$A9&amp;"*")&gt;0,SUMIFS('v4.2640.3'!$V:$V,'v4.2640.3'!$U:$U,"*"&amp;$A9&amp;"*"),I9*31))*100)),2)</f>
        <v/>
      </c>
      <c r="C9" s="7">
        <f>TRUNC(MAX(0,MIN(100,(1-SUMIFS('v4.2640.3'!$AB:$AB,'v4.2640.3'!$AD:$AD,"*"&amp;$A9&amp;"*")/IF(SUMIFS('v4.2640.3'!$V:$V,'v4.2640.3'!$U:$U,"*"&amp;$A9&amp;"*")&gt;0,SUMIFS('v4.2640.3'!$V:$V,'v4.2640.3'!$U:$U,"*"&amp;$A9&amp;"*"),I9*31))*100)),2)</f>
        <v/>
      </c>
      <c r="D9" s="7" t="n">
        <v>78</v>
      </c>
      <c r="E9" s="7" t="n">
        <v>4.34</v>
      </c>
      <c r="F9" s="7" t="n">
        <v>0.988</v>
      </c>
      <c r="G9" s="7" t="n">
        <v>1.2</v>
      </c>
      <c r="H9" s="7" t="n">
        <v>0.57</v>
      </c>
      <c r="I9" s="7" t="n">
        <v>731</v>
      </c>
      <c r="J9" s="8" t="n">
        <v>0.0037</v>
      </c>
    </row>
    <row r="10">
      <c r="A10" s="3" t="inlineStr">
        <is>
          <t>efood</t>
        </is>
      </c>
      <c r="B10" s="4">
        <f>TRUNC(MAX(0,MIN(100,(1-SUMIFS('v4.2640.3'!$X:$X,'v4.2640.3'!$Z:$Z,"*"&amp;$A10&amp;"*")/IF(SUMIFS('v4.2640.3'!$V:$V,'v4.2640.3'!$U:$U,"*"&amp;$A10&amp;"*")&gt;0,SUMIFS('v4.2640.3'!$V:$V,'v4.2640.3'!$U:$U,"*"&amp;$A10&amp;"*"),I10*31))*100)),2)</f>
        <v/>
      </c>
      <c r="C10" s="4">
        <f>TRUNC(MAX(0,MIN(100,(1-SUMIFS('v4.2640.3'!$AB:$AB,'v4.2640.3'!$AD:$AD,"*"&amp;$A10&amp;"*")/IF(SUMIFS('v4.2640.3'!$V:$V,'v4.2640.3'!$U:$U,"*"&amp;$A10&amp;"*")&gt;0,SUMIFS('v4.2640.3'!$V:$V,'v4.2640.3'!$U:$U,"*"&amp;$A10&amp;"*"),I10*31))*100)),2)</f>
        <v/>
      </c>
      <c r="D10" s="4" t="n">
        <v>68.09999999999999</v>
      </c>
      <c r="E10" s="4" t="n">
        <v>4.34</v>
      </c>
      <c r="F10" s="4" t="n">
        <v>0.988</v>
      </c>
      <c r="G10" s="4" t="n">
        <v>1.2</v>
      </c>
      <c r="H10" s="4" t="n">
        <v>0.57</v>
      </c>
      <c r="I10" s="4" t="n">
        <v>5258</v>
      </c>
      <c r="J10" s="5" t="n">
        <v>0.0267</v>
      </c>
    </row>
    <row r="11">
      <c r="A11" s="6" t="inlineStr">
        <is>
          <t>Foody</t>
        </is>
      </c>
      <c r="B11" s="7">
        <f>TRUNC(MAX(0,MIN(100,(1-SUMIFS('v4.2640.3'!$X:$X,'v4.2640.3'!$Z:$Z,"*"&amp;$A11&amp;"*")/IF(SUMIFS('v4.2640.3'!$V:$V,'v4.2640.3'!$U:$U,"*"&amp;$A11&amp;"*")&gt;0,SUMIFS('v4.2640.3'!$V:$V,'v4.2640.3'!$U:$U,"*"&amp;$A11&amp;"*"),I11*31))*100)),2)</f>
        <v/>
      </c>
      <c r="C11" s="7">
        <f>TRUNC(MAX(0,MIN(100,(1-SUMIFS('v4.2640.3'!$AB:$AB,'v4.2640.3'!$AD:$AD,"*"&amp;$A11&amp;"*")/IF(SUMIFS('v4.2640.3'!$V:$V,'v4.2640.3'!$U:$U,"*"&amp;$A11&amp;"*")&gt;0,SUMIFS('v4.2640.3'!$V:$V,'v4.2640.3'!$U:$U,"*"&amp;$A11&amp;"*"),I11*31))*100)),2)</f>
        <v/>
      </c>
      <c r="D11" s="7" t="n">
        <v>68.09999999999999</v>
      </c>
      <c r="E11" s="7" t="n">
        <v>4.34</v>
      </c>
      <c r="F11" s="7" t="n">
        <v>0.988</v>
      </c>
      <c r="G11" s="7" t="n">
        <v>1.2</v>
      </c>
      <c r="H11" s="7" t="n">
        <v>0.57</v>
      </c>
      <c r="I11" s="7" t="n">
        <v>729</v>
      </c>
      <c r="J11" s="8" t="n">
        <v>0.0037</v>
      </c>
    </row>
    <row r="12">
      <c r="A12" s="9" t="inlineStr">
        <is>
          <t>AVG</t>
        </is>
      </c>
      <c r="B12" s="10">
        <f>TRUNC(SUMPRODUCT(B2:B11,J2:J11),2)</f>
        <v/>
      </c>
      <c r="C12" s="10">
        <f>TRUNC(SUMPRODUCT(C2:C11,J2:J11),2)</f>
        <v/>
      </c>
      <c r="D12" s="10">
        <f>TRUNC(SUMPRODUCT(D2:D11,J2:J11),2)</f>
        <v/>
      </c>
      <c r="E12" s="10">
        <f>TRUNC(SUMPRODUCT(E2:E11,J2:J11),2)</f>
        <v/>
      </c>
      <c r="F12" s="10">
        <f>TRUNC(SUMPRODUCT(F2:F11,J2:J11),2)</f>
        <v/>
      </c>
      <c r="G12" s="10">
        <f>TRUNC(SUMPRODUCT(G2:G11,J2:J11),2)</f>
        <v/>
      </c>
      <c r="H12" s="10">
        <f>TRUNC(SUMPRODUCT(H2:H11,J2:J11),2)</f>
        <v/>
      </c>
    </row>
    <row r="13">
      <c r="A13" s="11" t="inlineStr">
        <is>
          <t>AQS</t>
        </is>
      </c>
      <c r="B13" s="12">
        <f>MIN(100,MAX(0,(((B12-99.7)/(99.9-99.7))*50)+50))*35%</f>
        <v/>
      </c>
      <c r="C13" s="12">
        <f>MIN(100,MAX(0,(((C12-99.7)/(99.9-99.7))*50)+50))*25%</f>
        <v/>
      </c>
      <c r="D13" s="12">
        <f>MIN(100,MAX(0,(((D12-75)/(60-75))*50)+50))*2%</f>
        <v/>
      </c>
      <c r="E13" s="12">
        <f>MIN(100,MAX(0,(((E12-4)/(2-4))*50)+50))*10%</f>
        <v/>
      </c>
      <c r="F13" s="12">
        <f>MIN(100,MAX(0,(((F12-1.5)/(0.5-1.5))*50)+50))*10%</f>
        <v/>
      </c>
      <c r="G13" s="12">
        <f>MIN(100,MAX(0,(((G12-3)/(1-3))*50)+50))*13%</f>
        <v/>
      </c>
      <c r="H13" s="12">
        <f>MIN(100,MAX(0,(((H12-2)/(1-2))*50)+50))*5%</f>
        <v/>
      </c>
      <c r="J13" s="13">
        <f>SUM(J2:J11)</f>
        <v/>
      </c>
    </row>
    <row r="15">
      <c r="A15" s="14" t="inlineStr">
        <is>
          <t>FINAL AQS =</t>
        </is>
      </c>
      <c r="B15" s="15">
        <f>ROUND(SUM(B13:H13),2)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2026-10-13T20:23:06Z</dcterms:created>
  <dcterms:modified xsi:type="dcterms:W3CDTF">2026-10-13T20:23:06Z</dcterms:modified>
</cp:coreProperties>
</file>