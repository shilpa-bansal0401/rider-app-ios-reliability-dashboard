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Consolidation" sheetId="1" state="visible" r:id="rId1"/>
    <sheet name="Dashboard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0.##"/>
  </numFmts>
  <fonts count="5">
    <font>
      <name val="Calibri"/>
      <family val="2"/>
      <color theme="1"/>
      <sz val="11"/>
      <scheme val="minor"/>
    </font>
    <font>
      <b val="1"/>
    </font>
    <font>
      <b val="1"/>
      <color rgb="00FFFFFF"/>
    </font>
    <font>
      <b val="1"/>
      <color rgb="00FFFFFF"/>
      <sz val="13"/>
    </font>
    <font>
      <b val="1"/>
      <color rgb="009C5700"/>
    </font>
  </fonts>
  <fills count="12">
    <fill>
      <patternFill/>
    </fill>
    <fill>
      <patternFill patternType="gray125"/>
    </fill>
    <fill>
      <patternFill patternType="solid">
        <fgColor rgb="00BDD7EE"/>
      </patternFill>
    </fill>
    <fill>
      <patternFill patternType="solid">
        <fgColor rgb="00FFADAD"/>
      </patternFill>
    </fill>
    <fill>
      <patternFill patternType="solid">
        <fgColor rgb="00C9B8F0"/>
      </patternFill>
    </fill>
    <fill>
      <patternFill patternType="solid">
        <fgColor rgb="00C6EFCE"/>
      </patternFill>
    </fill>
    <fill>
      <patternFill patternType="solid">
        <fgColor rgb="00B8D4E8"/>
      </patternFill>
    </fill>
    <fill>
      <patternFill patternType="solid">
        <fgColor rgb="00EEF4FB"/>
      </patternFill>
    </fill>
    <fill>
      <patternFill patternType="solid">
        <fgColor rgb="00FDEBD0"/>
      </patternFill>
    </fill>
    <fill>
      <patternFill patternType="solid">
        <fgColor rgb="00D5F5E3"/>
      </patternFill>
    </fill>
    <fill>
      <patternFill patternType="solid">
        <fgColor rgb="004472C4"/>
      </patternFill>
    </fill>
    <fill>
      <patternFill patternType="solid">
        <fgColor rgb="00FFEB9C"/>
      </patternFill>
    </fill>
  </fills>
  <borders count="7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  <border>
      <left style="medium">
        <color rgb="00808080"/>
      </left>
      <right style="medium">
        <color rgb="00808080"/>
      </right>
      <top style="medium">
        <color rgb="00808080"/>
      </top>
      <bottom style="medium">
        <color rgb="00808080"/>
      </bottom>
    </border>
    <border>
      <left/>
      <right/>
      <top style="medium">
        <color rgb="00808080"/>
      </top>
      <bottom/>
      <diagonal/>
    </border>
    <border>
      <left/>
      <right style="medium">
        <color rgb="00808080"/>
      </right>
      <top style="medium">
        <color rgb="00808080"/>
      </top>
      <bottom/>
      <diagonal/>
    </border>
    <border>
      <left/>
      <right/>
      <top style="medium">
        <color rgb="00808080"/>
      </top>
      <bottom style="medium">
        <color rgb="00808080"/>
      </bottom>
      <diagonal/>
    </border>
    <border>
      <left/>
      <right style="medium">
        <color rgb="00808080"/>
      </right>
      <top style="medium">
        <color rgb="00808080"/>
      </top>
      <bottom style="medium">
        <color rgb="00808080"/>
      </bottom>
      <diagonal/>
    </border>
  </borders>
  <cellStyleXfs count="1">
    <xf numFmtId="0" fontId="0" fillId="0" borderId="0"/>
  </cellStyleXfs>
  <cellXfs count="30">
    <xf numFmtId="0" fontId="0" fillId="0" borderId="0" pivotButton="0" quotePrefix="0" xfId="0"/>
    <xf numFmtId="0" fontId="1" fillId="6" borderId="1" applyAlignment="1" pivotButton="0" quotePrefix="0" xfId="0">
      <alignment horizontal="center" wrapText="1"/>
    </xf>
    <xf numFmtId="0" fontId="1" fillId="5" borderId="1" applyAlignment="1" pivotButton="0" quotePrefix="0" xfId="0">
      <alignment horizontal="center" wrapText="1"/>
    </xf>
    <xf numFmtId="0" fontId="1" fillId="7" borderId="1" pivotButton="0" quotePrefix="0" xfId="0"/>
    <xf numFmtId="0" fontId="0" fillId="7" borderId="1" pivotButton="0" quotePrefix="0" xfId="0"/>
    <xf numFmtId="10" fontId="0" fillId="7" borderId="1" pivotButton="0" quotePrefix="0" xfId="0"/>
    <xf numFmtId="0" fontId="1" fillId="0" borderId="1" pivotButton="0" quotePrefix="0" xfId="0"/>
    <xf numFmtId="0" fontId="0" fillId="0" borderId="1" pivotButton="0" quotePrefix="0" xfId="0"/>
    <xf numFmtId="10" fontId="0" fillId="0" borderId="1" pivotButton="0" quotePrefix="0" xfId="0"/>
    <xf numFmtId="0" fontId="1" fillId="8" borderId="1" pivotButton="0" quotePrefix="0" xfId="0"/>
    <xf numFmtId="2" fontId="1" fillId="8" borderId="1" pivotButton="0" quotePrefix="0" xfId="0"/>
    <xf numFmtId="0" fontId="1" fillId="9" borderId="1" pivotButton="0" quotePrefix="0" xfId="0"/>
    <xf numFmtId="2" fontId="1" fillId="9" borderId="1" pivotButton="0" quotePrefix="0" xfId="0"/>
    <xf numFmtId="10" fontId="1" fillId="5" borderId="1" pivotButton="0" quotePrefix="0" xfId="0"/>
    <xf numFmtId="0" fontId="2" fillId="10" borderId="2" applyAlignment="1" pivotButton="0" quotePrefix="0" xfId="0">
      <alignment horizontal="right"/>
    </xf>
    <xf numFmtId="2" fontId="3" fillId="10" borderId="2" pivotButton="0" quotePrefix="0" xfId="0"/>
    <xf numFmtId="0" fontId="4" fillId="11" borderId="2" applyAlignment="1" pivotButton="0" quotePrefix="0" xfId="0">
      <alignment wrapText="1"/>
    </xf>
    <xf numFmtId="0" fontId="0" fillId="0" borderId="5" pivotButton="0" quotePrefix="0" xfId="0"/>
    <xf numFmtId="0" fontId="0" fillId="0" borderId="6" pivotButton="0" quotePrefix="0" xfId="0"/>
    <xf numFmtId="0" fontId="1" fillId="5" borderId="1" pivotButton="0" quotePrefix="0" xfId="0"/>
    <xf numFmtId="0" fontId="0" fillId="5" borderId="1" pivotButton="0" quotePrefix="0" xfId="0"/>
    <xf numFmtId="0" fontId="1" fillId="2" borderId="1" applyAlignment="1" pivotButton="0" quotePrefix="0" xfId="0">
      <alignment horizontal="center"/>
    </xf>
    <xf numFmtId="0" fontId="1" fillId="3" borderId="1" applyAlignment="1" pivotButton="0" quotePrefix="0" xfId="0">
      <alignment horizontal="center"/>
    </xf>
    <xf numFmtId="0" fontId="1" fillId="4" borderId="1" applyAlignment="1" pivotButton="0" quotePrefix="0" xfId="0">
      <alignment horizontal="center"/>
    </xf>
    <xf numFmtId="0" fontId="0" fillId="8" borderId="2" pivotButton="0" quotePrefix="0" xfId="0"/>
    <xf numFmtId="0" fontId="1" fillId="8" borderId="2" pivotButton="0" quotePrefix="0" xfId="0"/>
    <xf numFmtId="1" fontId="0" fillId="9" borderId="2" pivotButton="0" quotePrefix="0" xfId="0"/>
    <xf numFmtId="0" fontId="0" fillId="9" borderId="2" pivotButton="0" quotePrefix="0" xfId="0"/>
    <xf numFmtId="164" fontId="0" fillId="9" borderId="2" pivotButton="0" quotePrefix="0" xfId="0"/>
    <xf numFmtId="2" fontId="0" fillId="9" borderId="2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comments/comment1.xml><?xml version="1.0" encoding="utf-8"?>
<comments xmlns="http://schemas.openxmlformats.org/spreadsheetml/2006/main">
  <authors>
    <author>Script</author>
  </authors>
  <commentList>
    <comment ref="D1" authorId="0" shapeId="0">
      <text>
        <t>Older values, not recently updated.
Update manually for accurate AQS score.</t>
      </text>
    </comment>
    <comment ref="E1" authorId="0" shapeId="0">
      <text>
        <t>Older values, not recently updated.
Update manually for accurate AQS score.</t>
      </text>
    </comment>
    <comment ref="F1" authorId="0" shapeId="0">
      <text>
        <t>Older values, not recently updated.
Update manually for accurate AQS score.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N1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17" customWidth="1" min="2" max="2"/>
    <col width="17" customWidth="1" min="3" max="3"/>
    <col width="17" customWidth="1" min="4" max="4"/>
    <col width="17" customWidth="1" min="5" max="5"/>
    <col width="17" customWidth="1" min="6" max="6"/>
    <col width="17" customWidth="1" min="7" max="7"/>
    <col width="17" customWidth="1" min="8" max="8"/>
    <col width="15" customWidth="1" min="13" max="13"/>
    <col width="16" customWidth="1" min="14" max="14"/>
  </cols>
  <sheetData>
    <row r="1" ht="40" customHeight="1">
      <c r="A1" s="1" t="inlineStr">
        <is>
          <t>Brand</t>
        </is>
      </c>
      <c r="B1" s="1" t="inlineStr">
        <is>
          <t>Crash free users</t>
        </is>
      </c>
      <c r="C1" s="1" t="inlineStr">
        <is>
          <t>App Hangs</t>
        </is>
      </c>
      <c r="D1" s="1" t="inlineStr">
        <is>
          <t>App size</t>
        </is>
      </c>
      <c r="E1" s="1" t="inlineStr">
        <is>
          <t>ASTI</t>
        </is>
      </c>
      <c r="F1" s="1" t="inlineStr">
        <is>
          <t>STTI</t>
        </is>
      </c>
      <c r="G1" s="1" t="inlineStr">
        <is>
          <t>Frozen Frames</t>
        </is>
      </c>
      <c r="H1" s="1" t="inlineStr">
        <is>
          <t>Skipped Frames</t>
        </is>
      </c>
      <c r="M1" s="2" t="inlineStr">
        <is>
          <t>Riders count</t>
        </is>
      </c>
      <c r="N1" s="2" t="inlineStr">
        <is>
          <t>Weight Rider ID</t>
        </is>
      </c>
    </row>
    <row r="2">
      <c r="A2" s="3" t="inlineStr">
        <is>
          <t>Foodpanda</t>
        </is>
      </c>
      <c r="B2" s="4">
        <f>TRUNC(MAX(0,MIN(100,(1-SUMIFS(Dashboard!$X:$X,Dashboard!$Z:$Z,"*"&amp;$A2&amp;"*")/IF(SUMIFS(Dashboard!$V:$V,Dashboard!$U:$U,"*"&amp;$A2&amp;"*")&gt;0,SUMIFS(Dashboard!$V:$V,Dashboard!$U:$U,"*"&amp;$A2&amp;"*"),M2*31))*100)),2)</f>
        <v/>
      </c>
      <c r="C2" s="4">
        <f>TRUNC(MAX(0,MIN(100,(1-SUMIFS(Dashboard!$AB:$AB,Dashboard!$AD:$AD,"*"&amp;$A2&amp;"*")/IF(SUMIFS(Dashboard!$V:$V,Dashboard!$U:$U,"*"&amp;$A2&amp;"*")&gt;0,SUMIFS(Dashboard!$V:$V,Dashboard!$U:$U,"*"&amp;$A2&amp;"*"),M2*31))*100)),2)</f>
        <v/>
      </c>
      <c r="D2" s="4" t="n">
        <v>77.5</v>
      </c>
      <c r="E2" s="4" t="n">
        <v>4.47</v>
      </c>
      <c r="F2" s="4" t="n">
        <v>0.84</v>
      </c>
      <c r="G2" s="4" t="n">
        <v>0.58</v>
      </c>
      <c r="H2" s="4" t="n">
        <v>1.2</v>
      </c>
      <c r="M2" s="4" t="n">
        <v>78203</v>
      </c>
      <c r="N2" s="5" t="n">
        <v>0.3966</v>
      </c>
    </row>
    <row r="3">
      <c r="A3" s="6" t="inlineStr">
        <is>
          <t>Foodora</t>
        </is>
      </c>
      <c r="B3" s="7">
        <f>TRUNC(MAX(0,MIN(100,(1-SUMIFS(Dashboard!$X:$X,Dashboard!$Z:$Z,"*"&amp;$A3&amp;"*")/IF(SUMIFS(Dashboard!$V:$V,Dashboard!$U:$U,"*"&amp;$A3&amp;"*")&gt;0,SUMIFS(Dashboard!$V:$V,Dashboard!$U:$U,"*"&amp;$A3&amp;"*"),M3*31))*100)),2)</f>
        <v/>
      </c>
      <c r="C3" s="7">
        <f>TRUNC(MAX(0,MIN(100,(1-SUMIFS(Dashboard!$AB:$AB,Dashboard!$AD:$AD,"*"&amp;$A3&amp;"*")/IF(SUMIFS(Dashboard!$V:$V,Dashboard!$U:$U,"*"&amp;$A3&amp;"*")&gt;0,SUMIFS(Dashboard!$V:$V,Dashboard!$U:$U,"*"&amp;$A3&amp;"*"),M3*31))*100)),2)</f>
        <v/>
      </c>
      <c r="D3" s="7" t="n">
        <v>80.7</v>
      </c>
      <c r="E3" s="7" t="n">
        <v>4.47</v>
      </c>
      <c r="F3" s="7" t="n">
        <v>0.84</v>
      </c>
      <c r="G3" s="7" t="n">
        <v>0.58</v>
      </c>
      <c r="H3" s="7" t="n">
        <v>1.2</v>
      </c>
      <c r="M3" s="7" t="n">
        <v>14946</v>
      </c>
      <c r="N3" s="8" t="n">
        <v>0.07580000000000001</v>
      </c>
    </row>
    <row r="4">
      <c r="A4" s="3" t="inlineStr">
        <is>
          <t>Talabat</t>
        </is>
      </c>
      <c r="B4" s="4">
        <f>TRUNC(MAX(0,MIN(100,(1-SUMIFS(Dashboard!$X:$X,Dashboard!$Z:$Z,"*"&amp;$A4&amp;"*")/IF(SUMIFS(Dashboard!$V:$V,Dashboard!$U:$U,"*"&amp;$A4&amp;"*")&gt;0,SUMIFS(Dashboard!$V:$V,Dashboard!$U:$U,"*"&amp;$A4&amp;"*"),M4*31))*100)),2)</f>
        <v/>
      </c>
      <c r="C4" s="4">
        <f>TRUNC(MAX(0,MIN(100,(1-SUMIFS(Dashboard!$AB:$AB,Dashboard!$AD:$AD,"*"&amp;$A4&amp;"*")/IF(SUMIFS(Dashboard!$V:$V,Dashboard!$U:$U,"*"&amp;$A4&amp;"*")&gt;0,SUMIFS(Dashboard!$V:$V,Dashboard!$U:$U,"*"&amp;$A4&amp;"*"),M4*31))*100)),2)</f>
        <v/>
      </c>
      <c r="D4" s="4" t="n">
        <v>77.59999999999999</v>
      </c>
      <c r="E4" s="4" t="n">
        <v>4.47</v>
      </c>
      <c r="F4" s="4" t="n">
        <v>0.84</v>
      </c>
      <c r="G4" s="4" t="n">
        <v>0.58</v>
      </c>
      <c r="H4" s="4" t="n">
        <v>1.2</v>
      </c>
      <c r="M4" s="4" t="n">
        <v>16988</v>
      </c>
      <c r="N4" s="5" t="n">
        <v>0.0861</v>
      </c>
    </row>
    <row r="5">
      <c r="A5" s="6" t="inlineStr">
        <is>
          <t>pedidosya</t>
        </is>
      </c>
      <c r="B5" s="7">
        <f>TRUNC(MAX(0,MIN(100,(1-SUMIFS(Dashboard!$X:$X,Dashboard!$Z:$Z,"*"&amp;$A5&amp;"*")/IF(SUMIFS(Dashboard!$V:$V,Dashboard!$U:$U,"*"&amp;$A5&amp;"*")&gt;0,SUMIFS(Dashboard!$V:$V,Dashboard!$U:$U,"*"&amp;$A5&amp;"*"),M5*31))*100)),2)</f>
        <v/>
      </c>
      <c r="C5" s="7">
        <f>TRUNC(MAX(0,MIN(100,(1-SUMIFS(Dashboard!$AB:$AB,Dashboard!$AD:$AD,"*"&amp;$A5&amp;"*")/IF(SUMIFS(Dashboard!$V:$V,Dashboard!$U:$U,"*"&amp;$A5&amp;"*")&gt;0,SUMIFS(Dashboard!$V:$V,Dashboard!$U:$U,"*"&amp;$A5&amp;"*"),M5*31))*100)),2)</f>
        <v/>
      </c>
      <c r="D5" s="7" t="n">
        <v>67.8</v>
      </c>
      <c r="E5" s="7" t="n">
        <v>4.47</v>
      </c>
      <c r="F5" s="7" t="n">
        <v>0.84</v>
      </c>
      <c r="G5" s="7" t="n">
        <v>0.58</v>
      </c>
      <c r="H5" s="7" t="n">
        <v>1.2</v>
      </c>
      <c r="M5" s="7" t="n">
        <v>20641</v>
      </c>
      <c r="N5" s="8" t="n">
        <v>0.1047</v>
      </c>
    </row>
    <row r="6">
      <c r="A6" s="3" t="inlineStr">
        <is>
          <t>HungerStation</t>
        </is>
      </c>
      <c r="B6" s="4">
        <f>TRUNC(MAX(0,MIN(100,(1-SUMIFS(Dashboard!$X:$X,Dashboard!$Z:$Z,"*"&amp;$A6&amp;"*")/IF(SUMIFS(Dashboard!$V:$V,Dashboard!$U:$U,"*"&amp;$A6&amp;"*")&gt;0,SUMIFS(Dashboard!$V:$V,Dashboard!$U:$U,"*"&amp;$A6&amp;"*"),M6*31))*100)),2)</f>
        <v/>
      </c>
      <c r="C6" s="4">
        <f>TRUNC(MAX(0,MIN(100,(1-SUMIFS(Dashboard!$AB:$AB,Dashboard!$AD:$AD,"*"&amp;$A6&amp;"*")/IF(SUMIFS(Dashboard!$V:$V,Dashboard!$U:$U,"*"&amp;$A6&amp;"*")&gt;0,SUMIFS(Dashboard!$V:$V,Dashboard!$U:$U,"*"&amp;$A6&amp;"*"),M6*31))*100)),2)</f>
        <v/>
      </c>
      <c r="D6" s="4" t="n">
        <v>77.59999999999999</v>
      </c>
      <c r="E6" s="4" t="n">
        <v>4.47</v>
      </c>
      <c r="F6" s="4" t="n">
        <v>0.84</v>
      </c>
      <c r="G6" s="4" t="n">
        <v>0.58</v>
      </c>
      <c r="H6" s="4" t="n">
        <v>1.2</v>
      </c>
      <c r="M6" s="4" t="n">
        <v>10630</v>
      </c>
      <c r="N6" s="5" t="n">
        <v>0.0539</v>
      </c>
    </row>
    <row r="7">
      <c r="A7" s="6" t="inlineStr">
        <is>
          <t>Yemeksepeti</t>
        </is>
      </c>
      <c r="B7" s="7">
        <f>TRUNC(MAX(0,MIN(100,(1-SUMIFS(Dashboard!$X:$X,Dashboard!$Z:$Z,"*"&amp;$A7&amp;"*")/IF(SUMIFS(Dashboard!$V:$V,Dashboard!$U:$U,"*"&amp;$A7&amp;"*")&gt;0,SUMIFS(Dashboard!$V:$V,Dashboard!$U:$U,"*"&amp;$A7&amp;"*"),M7*31))*100)),2)</f>
        <v/>
      </c>
      <c r="C7" s="7">
        <f>TRUNC(MAX(0,MIN(100,(1-SUMIFS(Dashboard!$AB:$AB,Dashboard!$AD:$AD,"*"&amp;$A7&amp;"*")/IF(SUMIFS(Dashboard!$V:$V,Dashboard!$U:$U,"*"&amp;$A7&amp;"*")&gt;0,SUMIFS(Dashboard!$V:$V,Dashboard!$U:$U,"*"&amp;$A7&amp;"*"),M7*31))*100)),2)</f>
        <v/>
      </c>
      <c r="D7" s="7" t="n">
        <v>77.5</v>
      </c>
      <c r="E7" s="7" t="n">
        <v>4.47</v>
      </c>
      <c r="F7" s="7" t="n">
        <v>0.84</v>
      </c>
      <c r="G7" s="7" t="n">
        <v>0.58</v>
      </c>
      <c r="H7" s="7" t="n">
        <v>1.2</v>
      </c>
      <c r="M7" s="7" t="n">
        <v>2186</v>
      </c>
      <c r="N7" s="8" t="n">
        <v>0.0111</v>
      </c>
    </row>
    <row r="8">
      <c r="A8" s="3" t="inlineStr">
        <is>
          <t>Glovo</t>
        </is>
      </c>
      <c r="B8" s="4">
        <f>TRUNC(MAX(0,MIN(100,(1-SUMIFS(Dashboard!$X:$X,Dashboard!$Z:$Z,"*"&amp;$A8&amp;"*")/IF(SUMIFS(Dashboard!$V:$V,Dashboard!$U:$U,"*"&amp;$A8&amp;"*")&gt;0,SUMIFS(Dashboard!$V:$V,Dashboard!$U:$U,"*"&amp;$A8&amp;"*"),M8*31))*100)),2)</f>
        <v/>
      </c>
      <c r="C8" s="4">
        <f>TRUNC(MAX(0,MIN(100,(1-SUMIFS(Dashboard!$AB:$AB,Dashboard!$AD:$AD,"*"&amp;$A8&amp;"*")/IF(SUMIFS(Dashboard!$V:$V,Dashboard!$U:$U,"*"&amp;$A8&amp;"*")&gt;0,SUMIFS(Dashboard!$V:$V,Dashboard!$U:$U,"*"&amp;$A8&amp;"*"),M8*31))*100)),2)</f>
        <v/>
      </c>
      <c r="D8" s="4" t="n">
        <v>77.5</v>
      </c>
      <c r="E8" s="4" t="n">
        <v>4.47</v>
      </c>
      <c r="F8" s="4" t="n">
        <v>0.84</v>
      </c>
      <c r="G8" s="4" t="n">
        <v>0.58</v>
      </c>
      <c r="H8" s="4" t="n">
        <v>1.2</v>
      </c>
      <c r="M8" s="4" t="n">
        <v>46896</v>
      </c>
      <c r="N8" s="5" t="n">
        <v>0.2378</v>
      </c>
    </row>
    <row r="9">
      <c r="A9" s="6" t="inlineStr">
        <is>
          <t>Woowa</t>
        </is>
      </c>
      <c r="B9" s="7">
        <f>TRUNC(MAX(0,MIN(100,(1-SUMIFS(Dashboard!$X:$X,Dashboard!$Z:$Z,"*"&amp;$A9&amp;"*")/IF(SUMIFS(Dashboard!$V:$V,Dashboard!$U:$U,"*"&amp;$A9&amp;"*")&gt;0,SUMIFS(Dashboard!$V:$V,Dashboard!$U:$U,"*"&amp;$A9&amp;"*"),M9*31))*100)),2)</f>
        <v/>
      </c>
      <c r="C9" s="7">
        <f>TRUNC(MAX(0,MIN(100,(1-SUMIFS(Dashboard!$AB:$AB,Dashboard!$AD:$AD,"*"&amp;$A9&amp;"*")/IF(SUMIFS(Dashboard!$V:$V,Dashboard!$U:$U,"*"&amp;$A9&amp;"*")&gt;0,SUMIFS(Dashboard!$V:$V,Dashboard!$U:$U,"*"&amp;$A9&amp;"*"),M9*31))*100)),2)</f>
        <v/>
      </c>
      <c r="D9" s="7" t="n">
        <v>77.2</v>
      </c>
      <c r="E9" s="7" t="n">
        <v>4.47</v>
      </c>
      <c r="F9" s="7" t="n">
        <v>0.84</v>
      </c>
      <c r="G9" s="7" t="n">
        <v>0.58</v>
      </c>
      <c r="H9" s="7" t="n">
        <v>1.2</v>
      </c>
      <c r="M9" s="7" t="n">
        <v>731</v>
      </c>
      <c r="N9" s="8" t="n">
        <v>0.0037</v>
      </c>
    </row>
    <row r="10">
      <c r="A10" s="3" t="inlineStr">
        <is>
          <t>efood</t>
        </is>
      </c>
      <c r="B10" s="4">
        <f>TRUNC(MAX(0,MIN(100,(1-SUMIFS(Dashboard!$X:$X,Dashboard!$Z:$Z,"*"&amp;$A10&amp;"*")/IF(SUMIFS(Dashboard!$V:$V,Dashboard!$U:$U,"*"&amp;$A10&amp;"*")&gt;0,SUMIFS(Dashboard!$V:$V,Dashboard!$U:$U,"*"&amp;$A10&amp;"*"),M10*31))*100)),2)</f>
        <v/>
      </c>
      <c r="C10" s="4">
        <f>TRUNC(MAX(0,MIN(100,(1-SUMIFS(Dashboard!$AB:$AB,Dashboard!$AD:$AD,"*"&amp;$A10&amp;"*")/IF(SUMIFS(Dashboard!$V:$V,Dashboard!$U:$U,"*"&amp;$A10&amp;"*")&gt;0,SUMIFS(Dashboard!$V:$V,Dashboard!$U:$U,"*"&amp;$A10&amp;"*"),M10*31))*100)),2)</f>
        <v/>
      </c>
      <c r="D10" s="4" t="n">
        <v>67.7</v>
      </c>
      <c r="E10" s="4" t="n">
        <v>4.47</v>
      </c>
      <c r="F10" s="4" t="n">
        <v>0.84</v>
      </c>
      <c r="G10" s="4" t="n">
        <v>0.58</v>
      </c>
      <c r="H10" s="4" t="n">
        <v>1.2</v>
      </c>
      <c r="M10" s="4" t="n">
        <v>5258</v>
      </c>
      <c r="N10" s="5" t="n">
        <v>0.0267</v>
      </c>
    </row>
    <row r="11">
      <c r="A11" s="6" t="inlineStr">
        <is>
          <t>Foody</t>
        </is>
      </c>
      <c r="B11" s="7">
        <f>TRUNC(MAX(0,MIN(100,(1-SUMIFS(Dashboard!$X:$X,Dashboard!$Z:$Z,"*"&amp;$A11&amp;"*")/IF(SUMIFS(Dashboard!$V:$V,Dashboard!$U:$U,"*"&amp;$A11&amp;"*")&gt;0,SUMIFS(Dashboard!$V:$V,Dashboard!$U:$U,"*"&amp;$A11&amp;"*"),M11*31))*100)),2)</f>
        <v/>
      </c>
      <c r="C11" s="7">
        <f>TRUNC(MAX(0,MIN(100,(1-SUMIFS(Dashboard!$AB:$AB,Dashboard!$AD:$AD,"*"&amp;$A11&amp;"*")/IF(SUMIFS(Dashboard!$V:$V,Dashboard!$U:$U,"*"&amp;$A11&amp;"*")&gt;0,SUMIFS(Dashboard!$V:$V,Dashboard!$U:$U,"*"&amp;$A11&amp;"*"),M11*31))*100)),2)</f>
        <v/>
      </c>
      <c r="D11" s="7" t="n">
        <v>67.7</v>
      </c>
      <c r="E11" s="7" t="n">
        <v>4.47</v>
      </c>
      <c r="F11" s="7" t="n">
        <v>0.84</v>
      </c>
      <c r="G11" s="7" t="n">
        <v>0.58</v>
      </c>
      <c r="H11" s="7" t="n">
        <v>1.2</v>
      </c>
      <c r="M11" s="7" t="n">
        <v>729</v>
      </c>
      <c r="N11" s="8" t="n">
        <v>0.0037</v>
      </c>
    </row>
    <row r="12">
      <c r="A12" s="9" t="inlineStr">
        <is>
          <t>AVG</t>
        </is>
      </c>
      <c r="B12" s="10">
        <f>TRUNC(SUMPRODUCT(B2:B11,N2:N11),2)</f>
        <v/>
      </c>
      <c r="C12" s="10">
        <f>TRUNC(SUMPRODUCT(C2:C11,N2:N11),2)</f>
        <v/>
      </c>
      <c r="D12" s="10">
        <f>TRUNC(SUMPRODUCT(D2:D11,N2:N11),2)</f>
        <v/>
      </c>
      <c r="E12" s="10">
        <f>TRUNC(SUMPRODUCT(E2:E11,N2:N11),2)</f>
        <v/>
      </c>
      <c r="F12" s="10">
        <f>TRUNC(SUMPRODUCT(F2:F11,N2:N11),2)</f>
        <v/>
      </c>
      <c r="G12" s="10">
        <f>TRUNC(SUMPRODUCT(G2:G11,N2:N11),2)</f>
        <v/>
      </c>
      <c r="H12" s="10">
        <f>TRUNC(SUMPRODUCT(H2:H11,N2:N11),2)</f>
        <v/>
      </c>
    </row>
    <row r="13">
      <c r="A13" s="11" t="inlineStr">
        <is>
          <t>AQS</t>
        </is>
      </c>
      <c r="B13" s="12">
        <f>MIN(100,MAX(0,(((B12-99.7)/(99.9-99.7))*50)+50))*35%</f>
        <v/>
      </c>
      <c r="C13" s="12">
        <f>MIN(100,MAX(0,(((C12-99.7)/(99.9-99.7))*50)+50))*25%</f>
        <v/>
      </c>
      <c r="D13" s="12">
        <f>MIN(100,MAX(0,(((D12-75)/(60-75))*50)+50))*2%</f>
        <v/>
      </c>
      <c r="E13" s="12">
        <f>MIN(100,MAX(0,(((E12-4)/(2-4))*50)+50))*10%</f>
        <v/>
      </c>
      <c r="F13" s="12">
        <f>MIN(100,MAX(0,(((F12-1.5)/(0.5-1.5))*50)+50))*10%</f>
        <v/>
      </c>
      <c r="G13" s="12">
        <f>MIN(100,MAX(0,(((G12-3)/(1-3))*50)+50))*13%</f>
        <v/>
      </c>
      <c r="H13" s="12">
        <f>MIN(100,MAX(0,(((H12-2)/(1-2))*50)+50))*5%</f>
        <v/>
      </c>
      <c r="M13" s="11">
        <f>SUM(M2:M11)</f>
        <v/>
      </c>
      <c r="N13" s="13">
        <f>SUM(N2:N11)</f>
        <v/>
      </c>
    </row>
    <row r="15">
      <c r="A15" s="14" t="inlineStr">
        <is>
          <t>FINAL AQS =</t>
        </is>
      </c>
      <c r="B15" s="15">
        <f>ROUND(SUM(B13:H13),2)</f>
        <v/>
      </c>
    </row>
    <row r="17" ht="30" customHeight="1">
      <c r="A17" s="16" t="inlineStr">
        <is>
          <t>⚠  App size, ASTI and STTI have the older values, not recently updated. Update these columns manually before sharing. For the accurate AQS score, update these values.</t>
        </is>
      </c>
      <c r="B17" s="17" t="n"/>
      <c r="C17" s="17" t="n"/>
      <c r="D17" s="17" t="n"/>
      <c r="E17" s="17" t="n"/>
      <c r="F17" s="17" t="n"/>
      <c r="G17" s="17" t="n"/>
      <c r="H17" s="18" t="n"/>
    </row>
  </sheetData>
  <mergeCells count="1">
    <mergeCell ref="A17:H17"/>
  </mergeCells>
  <pageMargins left="0.75" right="0.75" top="1" bottom="1" header="0.5" footer="0.5"/>
  <legacyDrawing xmlns:r="http://schemas.openxmlformats.org/officeDocument/2006/relationships" r:id="anysvml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D73"/>
  <sheetViews>
    <sheetView workbookViewId="0">
      <pane xSplit="2" ySplit="1" topLeftCell="C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0" customWidth="1" min="1" max="1"/>
    <col width="12" customWidth="1" min="2" max="2"/>
    <col width="14" customWidth="1" min="3" max="3"/>
    <col width="30" customWidth="1" min="4" max="4"/>
    <col width="28" customWidth="1" min="5" max="5"/>
    <col width="4" customWidth="1" min="6" max="6"/>
    <col width="12" customWidth="1" min="7" max="7"/>
    <col hidden="1" width="13" customWidth="1" min="8" max="8"/>
    <col width="22" customWidth="1" min="9" max="9"/>
    <col width="4" customWidth="1" min="10" max="10"/>
    <col width="24" customWidth="1" min="11" max="11"/>
    <col width="14" customWidth="1" min="12" max="12"/>
    <col hidden="1" width="13" customWidth="1" min="13" max="13"/>
    <col width="30" customWidth="1" min="14" max="14"/>
    <col width="22" customWidth="1" min="20" max="20"/>
    <col width="22" customWidth="1" min="21" max="21"/>
    <col width="22" customWidth="1" min="22" max="22"/>
    <col width="4" customWidth="1" min="23" max="23"/>
    <col width="22" customWidth="1" min="24" max="24"/>
    <col width="22" customWidth="1" min="25" max="25"/>
    <col width="22" customWidth="1" min="26" max="26"/>
    <col width="4" customWidth="1" min="27" max="27"/>
    <col width="22" customWidth="1" min="28" max="28"/>
    <col width="22" customWidth="1" min="29" max="29"/>
    <col width="22" customWidth="1" min="30" max="30"/>
  </cols>
  <sheetData>
    <row r="1" ht="45" customHeight="1">
      <c r="A1" s="19" t="inlineStr">
        <is>
          <t>CFU part in AQS</t>
        </is>
      </c>
      <c r="B1" s="20" t="n">
        <v>60</v>
      </c>
      <c r="C1" s="1" t="inlineStr">
        <is>
          <t>Date</t>
        </is>
      </c>
      <c r="D1" s="1" t="inlineStr">
        <is>
          <t>Total users count (ios_User_Count)</t>
        </is>
      </c>
      <c r="E1" s="1" t="inlineStr">
        <is>
          <t>Crashed users count (Query)</t>
        </is>
      </c>
      <c r="F1" s="7" t="n"/>
      <c r="G1" s="1" t="inlineStr">
        <is>
          <t>CFU %</t>
        </is>
      </c>
      <c r="H1" s="7" t="n"/>
      <c r="I1" s="7" t="n"/>
      <c r="J1" s="7" t="n"/>
      <c r="K1" s="1" t="inlineStr">
        <is>
          <t>Hang user count (Query)</t>
        </is>
      </c>
      <c r="L1" s="1" t="inlineStr">
        <is>
          <t>Hang free %</t>
        </is>
      </c>
      <c r="M1" s="7" t="n"/>
      <c r="N1" s="1" t="inlineStr">
        <is>
          <t>Projected AQS including hangs</t>
        </is>
      </c>
      <c r="T1" s="21" t="inlineStr">
        <is>
          <t>dt</t>
        </is>
      </c>
      <c r="U1" s="21" t="inlineStr">
        <is>
          <t>appId</t>
        </is>
      </c>
      <c r="V1" s="21" t="inlineStr">
        <is>
          <t>user_count</t>
        </is>
      </c>
      <c r="X1" s="22" t="inlineStr">
        <is>
          <t>CRASH_USERS</t>
        </is>
      </c>
      <c r="Y1" s="22" t="inlineStr">
        <is>
          <t>day</t>
        </is>
      </c>
      <c r="Z1" s="22" t="inlineStr">
        <is>
          <t>Brand</t>
        </is>
      </c>
      <c r="AB1" s="23" t="inlineStr">
        <is>
          <t>HANG_USERS</t>
        </is>
      </c>
      <c r="AC1" s="23" t="inlineStr">
        <is>
          <t>day</t>
        </is>
      </c>
      <c r="AD1" s="23" t="inlineStr">
        <is>
          <t>Brand</t>
        </is>
      </c>
    </row>
    <row r="2">
      <c r="A2" s="19" t="inlineStr">
        <is>
          <t>base AQS score</t>
        </is>
      </c>
      <c r="B2" s="20" t="n">
        <v>32.65</v>
      </c>
      <c r="C2" s="4" t="inlineStr">
        <is>
          <t>2026-07-01</t>
        </is>
      </c>
      <c r="D2" s="4">
        <f>SUMIFS(V:V,U:U,"*"&amp;$B$10&amp;"*",T:T,C2)</f>
        <v/>
      </c>
      <c r="E2" s="4">
        <f>SUMIFS(X:X,Z:Z,"*"&amp;$B$10&amp;"*",Y:Y,C2)</f>
        <v/>
      </c>
      <c r="F2" s="4" t="n"/>
      <c r="G2" s="4">
        <f>ROUND(MAX(0,MIN(100,(1-E2/IF(D2&gt;0,D2,SUMIFS(Consolidation!$M:$M,Consolidation!$A:$A,"*"&amp;$B$10&amp;"*")/31))*100)),2)</f>
        <v/>
      </c>
      <c r="H2" s="4">
        <f>MIN(1,(G2-$B$3)/($B$4-$B$3))*$B$1</f>
        <v/>
      </c>
      <c r="I2" s="4" t="n"/>
      <c r="J2" s="4" t="n"/>
      <c r="K2" s="4">
        <f>SUMIFS(AB:AB,AD:AD,"*"&amp;$B$10&amp;"*",AC:AC,C2)</f>
        <v/>
      </c>
      <c r="L2" s="4">
        <f>ROUND(MAX(0,MIN(100,100*(1-K2/IF(D2&gt;0,D2,SUMIFS(Consolidation!$M:$M,Consolidation!$A:$A,"*"&amp;$B$10&amp;"*")/31)))),2)</f>
        <v/>
      </c>
      <c r="M2" s="4">
        <f>MAX(0,(L2-$B$6)/($B$7-$B$6)*$B$8)</f>
        <v/>
      </c>
      <c r="N2" s="4">
        <f>$B$2+H2+M2</f>
        <v/>
      </c>
      <c r="T2" s="4" t="n"/>
      <c r="U2" s="4" t="n"/>
      <c r="V2" s="4" t="n"/>
      <c r="X2" s="4" t="n">
        <v>125</v>
      </c>
      <c r="Y2" s="4" t="inlineStr">
        <is>
          <t>2026-07-01</t>
        </is>
      </c>
      <c r="Z2" s="4" t="inlineStr">
        <is>
          <t>com.logistics.rider.foodpanda</t>
        </is>
      </c>
      <c r="AB2" s="4" t="n">
        <v>387</v>
      </c>
      <c r="AC2" s="4" t="inlineStr">
        <is>
          <t>2026-07-01</t>
        </is>
      </c>
      <c r="AD2" s="4" t="inlineStr">
        <is>
          <t>com.logistics.rider.foodpanda</t>
        </is>
      </c>
    </row>
    <row r="3">
      <c r="A3" s="19" t="inlineStr">
        <is>
          <t>CFU minimum</t>
        </is>
      </c>
      <c r="B3" s="20" t="n">
        <v>99.5</v>
      </c>
      <c r="C3" s="7" t="inlineStr">
        <is>
          <t>2026-07-02</t>
        </is>
      </c>
      <c r="D3" s="7">
        <f>SUMIFS(V:V,U:U,"*"&amp;$B$10&amp;"*",T:T,C3)</f>
        <v/>
      </c>
      <c r="E3" s="7">
        <f>SUMIFS(X:X,Z:Z,"*"&amp;$B$10&amp;"*",Y:Y,C3)</f>
        <v/>
      </c>
      <c r="F3" s="7" t="n"/>
      <c r="G3" s="7">
        <f>ROUND(MAX(0,MIN(100,(1-E3/IF(D3&gt;0,D3,SUMIFS(Consolidation!$M:$M,Consolidation!$A:$A,"*"&amp;$B$10&amp;"*")/31))*100)),2)</f>
        <v/>
      </c>
      <c r="H3" s="7">
        <f>MIN(1,(G3-$B$3)/($B$4-$B$3))*$B$1</f>
        <v/>
      </c>
      <c r="I3" s="7" t="n"/>
      <c r="J3" s="7" t="n"/>
      <c r="K3" s="7">
        <f>SUMIFS(AB:AB,AD:AD,"*"&amp;$B$10&amp;"*",AC:AC,C3)</f>
        <v/>
      </c>
      <c r="L3" s="7">
        <f>ROUND(MAX(0,MIN(100,100*(1-K3/IF(D3&gt;0,D3,SUMIFS(Consolidation!$M:$M,Consolidation!$A:$A,"*"&amp;$B$10&amp;"*")/31)))),2)</f>
        <v/>
      </c>
      <c r="M3" s="7">
        <f>MAX(0,(L3-$B$6)/($B$7-$B$6)*$B$8)</f>
        <v/>
      </c>
      <c r="N3" s="7">
        <f>$B$2+H3+M3</f>
        <v/>
      </c>
      <c r="T3" s="7" t="n"/>
      <c r="U3" s="7" t="n"/>
      <c r="V3" s="7" t="n"/>
      <c r="X3" s="7" t="n">
        <v>19</v>
      </c>
      <c r="Y3" s="7" t="inlineStr">
        <is>
          <t>2026-07-01</t>
        </is>
      </c>
      <c r="Z3" s="7" t="inlineStr">
        <is>
          <t>com.logistics.rider.foodora</t>
        </is>
      </c>
      <c r="AB3" s="7" t="n">
        <v>30</v>
      </c>
      <c r="AC3" s="7" t="inlineStr">
        <is>
          <t>2026-07-01</t>
        </is>
      </c>
      <c r="AD3" s="7" t="inlineStr">
        <is>
          <t>com.logistics.rider.foodora</t>
        </is>
      </c>
    </row>
    <row r="4">
      <c r="A4" s="19" t="inlineStr">
        <is>
          <t>CFU maximum</t>
        </is>
      </c>
      <c r="B4" s="20" t="n">
        <v>99.90000000000001</v>
      </c>
      <c r="C4" s="4" t="inlineStr">
        <is>
          <t>2026-07-03</t>
        </is>
      </c>
      <c r="D4" s="4">
        <f>SUMIFS(V:V,U:U,"*"&amp;$B$10&amp;"*",T:T,C4)</f>
        <v/>
      </c>
      <c r="E4" s="4">
        <f>SUMIFS(X:X,Z:Z,"*"&amp;$B$10&amp;"*",Y:Y,C4)</f>
        <v/>
      </c>
      <c r="F4" s="4" t="n"/>
      <c r="G4" s="4">
        <f>ROUND(MAX(0,MIN(100,(1-E4/IF(D4&gt;0,D4,SUMIFS(Consolidation!$M:$M,Consolidation!$A:$A,"*"&amp;$B$10&amp;"*")/31))*100)),2)</f>
        <v/>
      </c>
      <c r="H4" s="4">
        <f>MIN(1,(G4-$B$3)/($B$4-$B$3))*$B$1</f>
        <v/>
      </c>
      <c r="I4" s="4" t="n"/>
      <c r="J4" s="4" t="n"/>
      <c r="K4" s="4">
        <f>SUMIFS(AB:AB,AD:AD,"*"&amp;$B$10&amp;"*",AC:AC,C4)</f>
        <v/>
      </c>
      <c r="L4" s="4">
        <f>ROUND(MAX(0,MIN(100,100*(1-K4/IF(D4&gt;0,D4,SUMIFS(Consolidation!$M:$M,Consolidation!$A:$A,"*"&amp;$B$10&amp;"*")/31)))),2)</f>
        <v/>
      </c>
      <c r="M4" s="4">
        <f>MAX(0,(L4-$B$6)/($B$7-$B$6)*$B$8)</f>
        <v/>
      </c>
      <c r="N4" s="4">
        <f>$B$2+H4+M4</f>
        <v/>
      </c>
      <c r="T4" s="4" t="n"/>
      <c r="U4" s="4" t="n"/>
      <c r="V4" s="4" t="n"/>
      <c r="X4" s="4" t="n">
        <v>80</v>
      </c>
      <c r="Y4" s="4" t="inlineStr">
        <is>
          <t>2026-07-01</t>
        </is>
      </c>
      <c r="Z4" s="4" t="inlineStr">
        <is>
          <t>com.logistics.rider.talabat</t>
        </is>
      </c>
      <c r="AB4" s="4" t="n">
        <v>179</v>
      </c>
      <c r="AC4" s="4" t="inlineStr">
        <is>
          <t>2026-07-01</t>
        </is>
      </c>
      <c r="AD4" s="4" t="inlineStr">
        <is>
          <t>com.logistics.rider.talabat</t>
        </is>
      </c>
    </row>
    <row r="5">
      <c r="A5" s="7" t="n"/>
      <c r="B5" s="7" t="n"/>
      <c r="C5" s="7" t="inlineStr">
        <is>
          <t>2026-07-04</t>
        </is>
      </c>
      <c r="D5" s="7">
        <f>SUMIFS(V:V,U:U,"*"&amp;$B$10&amp;"*",T:T,C5)</f>
        <v/>
      </c>
      <c r="E5" s="7">
        <f>SUMIFS(X:X,Z:Z,"*"&amp;$B$10&amp;"*",Y:Y,C5)</f>
        <v/>
      </c>
      <c r="F5" s="7" t="n"/>
      <c r="G5" s="7">
        <f>ROUND(MAX(0,MIN(100,(1-E5/IF(D5&gt;0,D5,SUMIFS(Consolidation!$M:$M,Consolidation!$A:$A,"*"&amp;$B$10&amp;"*")/31))*100)),2)</f>
        <v/>
      </c>
      <c r="H5" s="7">
        <f>MIN(1,(G5-$B$3)/($B$4-$B$3))*$B$1</f>
        <v/>
      </c>
      <c r="I5" s="7" t="n"/>
      <c r="J5" s="7" t="n"/>
      <c r="K5" s="7">
        <f>SUMIFS(AB:AB,AD:AD,"*"&amp;$B$10&amp;"*",AC:AC,C5)</f>
        <v/>
      </c>
      <c r="L5" s="7">
        <f>ROUND(MAX(0,MIN(100,100*(1-K5/IF(D5&gt;0,D5,SUMIFS(Consolidation!$M:$M,Consolidation!$A:$A,"*"&amp;$B$10&amp;"*")/31)))),2)</f>
        <v/>
      </c>
      <c r="M5" s="7">
        <f>MAX(0,(L5-$B$6)/($B$7-$B$6)*$B$8)</f>
        <v/>
      </c>
      <c r="N5" s="7">
        <f>$B$2+H5+M5</f>
        <v/>
      </c>
      <c r="T5" s="7" t="n"/>
      <c r="U5" s="7" t="n"/>
      <c r="V5" s="7" t="n"/>
      <c r="X5" s="7" t="n">
        <v>31</v>
      </c>
      <c r="Y5" s="7" t="inlineStr">
        <is>
          <t>2026-07-01</t>
        </is>
      </c>
      <c r="Z5" s="7" t="inlineStr">
        <is>
          <t>com.logistics.rider.pedidosya</t>
        </is>
      </c>
      <c r="AB5" s="7" t="n">
        <v>55</v>
      </c>
      <c r="AC5" s="7" t="inlineStr">
        <is>
          <t>2026-07-01</t>
        </is>
      </c>
      <c r="AD5" s="7" t="inlineStr">
        <is>
          <t>com.logistics.rider.pedidosya</t>
        </is>
      </c>
    </row>
    <row r="6">
      <c r="A6" s="19" t="inlineStr">
        <is>
          <t>Hang minimum</t>
        </is>
      </c>
      <c r="B6" s="20" t="n">
        <v>99.5</v>
      </c>
      <c r="C6" s="4" t="inlineStr">
        <is>
          <t>2026-07-05</t>
        </is>
      </c>
      <c r="D6" s="4">
        <f>SUMIFS(V:V,U:U,"*"&amp;$B$10&amp;"*",T:T,C6)</f>
        <v/>
      </c>
      <c r="E6" s="4">
        <f>SUMIFS(X:X,Z:Z,"*"&amp;$B$10&amp;"*",Y:Y,C6)</f>
        <v/>
      </c>
      <c r="F6" s="4" t="n"/>
      <c r="G6" s="4">
        <f>ROUND(MAX(0,MIN(100,(1-E6/IF(D6&gt;0,D6,SUMIFS(Consolidation!$M:$M,Consolidation!$A:$A,"*"&amp;$B$10&amp;"*")/31))*100)),2)</f>
        <v/>
      </c>
      <c r="H6" s="4">
        <f>MIN(1,(G6-$B$3)/($B$4-$B$3))*$B$1</f>
        <v/>
      </c>
      <c r="I6" s="4" t="n"/>
      <c r="J6" s="4" t="n"/>
      <c r="K6" s="4">
        <f>SUMIFS(AB:AB,AD:AD,"*"&amp;$B$10&amp;"*",AC:AC,C6)</f>
        <v/>
      </c>
      <c r="L6" s="4">
        <f>ROUND(MAX(0,MIN(100,100*(1-K6/IF(D6&gt;0,D6,SUMIFS(Consolidation!$M:$M,Consolidation!$A:$A,"*"&amp;$B$10&amp;"*")/31)))),2)</f>
        <v/>
      </c>
      <c r="M6" s="4">
        <f>MAX(0,(L6-$B$6)/($B$7-$B$6)*$B$8)</f>
        <v/>
      </c>
      <c r="N6" s="4">
        <f>$B$2+H6+M6</f>
        <v/>
      </c>
      <c r="T6" s="4" t="n"/>
      <c r="U6" s="4" t="n"/>
      <c r="V6" s="4" t="n"/>
      <c r="X6" s="4" t="n">
        <v>17</v>
      </c>
      <c r="Y6" s="4" t="inlineStr">
        <is>
          <t>2026-07-01</t>
        </is>
      </c>
      <c r="Z6" s="4" t="inlineStr">
        <is>
          <t>com.logistics.rider.hungerstation</t>
        </is>
      </c>
      <c r="AB6" s="4" t="n">
        <v>40</v>
      </c>
      <c r="AC6" s="4" t="inlineStr">
        <is>
          <t>2026-07-01</t>
        </is>
      </c>
      <c r="AD6" s="4" t="inlineStr">
        <is>
          <t>com.logistics.rider.hungerstation</t>
        </is>
      </c>
    </row>
    <row r="7">
      <c r="A7" s="19" t="inlineStr">
        <is>
          <t>Hang maximum</t>
        </is>
      </c>
      <c r="B7" s="20" t="n">
        <v>99.90000000000001</v>
      </c>
      <c r="C7" s="7" t="inlineStr">
        <is>
          <t>2026-07-06</t>
        </is>
      </c>
      <c r="D7" s="7">
        <f>SUMIFS(V:V,U:U,"*"&amp;$B$10&amp;"*",T:T,C7)</f>
        <v/>
      </c>
      <c r="E7" s="7">
        <f>SUMIFS(X:X,Z:Z,"*"&amp;$B$10&amp;"*",Y:Y,C7)</f>
        <v/>
      </c>
      <c r="F7" s="7" t="n"/>
      <c r="G7" s="7">
        <f>ROUND(MAX(0,MIN(100,(1-E7/IF(D7&gt;0,D7,SUMIFS(Consolidation!$M:$M,Consolidation!$A:$A,"*"&amp;$B$10&amp;"*")/31))*100)),2)</f>
        <v/>
      </c>
      <c r="H7" s="7">
        <f>MIN(1,(G7-$B$3)/($B$4-$B$3))*$B$1</f>
        <v/>
      </c>
      <c r="I7" s="7" t="n"/>
      <c r="J7" s="7" t="n"/>
      <c r="K7" s="7">
        <f>SUMIFS(AB:AB,AD:AD,"*"&amp;$B$10&amp;"*",AC:AC,C7)</f>
        <v/>
      </c>
      <c r="L7" s="7">
        <f>ROUND(MAX(0,MIN(100,100*(1-K7/IF(D7&gt;0,D7,SUMIFS(Consolidation!$M:$M,Consolidation!$A:$A,"*"&amp;$B$10&amp;"*")/31)))),2)</f>
        <v/>
      </c>
      <c r="M7" s="7">
        <f>MAX(0,(L7-$B$6)/($B$7-$B$6)*$B$8)</f>
        <v/>
      </c>
      <c r="N7" s="7">
        <f>$B$2+H7+M7</f>
        <v/>
      </c>
      <c r="T7" s="7" t="n"/>
      <c r="U7" s="7" t="n"/>
      <c r="V7" s="7" t="n"/>
      <c r="X7" s="7" t="n">
        <v>95</v>
      </c>
      <c r="Y7" s="7" t="inlineStr">
        <is>
          <t>2026-07-01</t>
        </is>
      </c>
      <c r="Z7" s="7" t="inlineStr">
        <is>
          <t>com.logistics.rider.glovo</t>
        </is>
      </c>
      <c r="AB7" s="7" t="n">
        <v>163</v>
      </c>
      <c r="AC7" s="7" t="inlineStr">
        <is>
          <t>2026-07-01</t>
        </is>
      </c>
      <c r="AD7" s="7" t="inlineStr">
        <is>
          <t>com.logistics.rider.glovo</t>
        </is>
      </c>
    </row>
    <row r="8">
      <c r="A8" s="19" t="inlineStr">
        <is>
          <t>Hang part in AQS</t>
        </is>
      </c>
      <c r="B8" s="20" t="n">
        <v>25</v>
      </c>
      <c r="C8" s="4" t="inlineStr">
        <is>
          <t>2026-07-07</t>
        </is>
      </c>
      <c r="D8" s="4">
        <f>SUMIFS(V:V,U:U,"*"&amp;$B$10&amp;"*",T:T,C8)</f>
        <v/>
      </c>
      <c r="E8" s="4">
        <f>SUMIFS(X:X,Z:Z,"*"&amp;$B$10&amp;"*",Y:Y,C8)</f>
        <v/>
      </c>
      <c r="F8" s="4" t="n"/>
      <c r="G8" s="4">
        <f>ROUND(MAX(0,MIN(100,(1-E8/IF(D8&gt;0,D8,SUMIFS(Consolidation!$M:$M,Consolidation!$A:$A,"*"&amp;$B$10&amp;"*")/31))*100)),2)</f>
        <v/>
      </c>
      <c r="H8" s="4">
        <f>MIN(1,(G8-$B$3)/($B$4-$B$3))*$B$1</f>
        <v/>
      </c>
      <c r="I8" s="4" t="n"/>
      <c r="J8" s="4" t="n"/>
      <c r="K8" s="4">
        <f>SUMIFS(AB:AB,AD:AD,"*"&amp;$B$10&amp;"*",AC:AC,C8)</f>
        <v/>
      </c>
      <c r="L8" s="4">
        <f>ROUND(MAX(0,MIN(100,100*(1-K8/IF(D8&gt;0,D8,SUMIFS(Consolidation!$M:$M,Consolidation!$A:$A,"*"&amp;$B$10&amp;"*")/31)))),2)</f>
        <v/>
      </c>
      <c r="M8" s="4">
        <f>MAX(0,(L8-$B$6)/($B$7-$B$6)*$B$8)</f>
        <v/>
      </c>
      <c r="N8" s="4">
        <f>$B$2+H8+M8</f>
        <v/>
      </c>
      <c r="T8" s="4" t="n"/>
      <c r="U8" s="4" t="n"/>
      <c r="V8" s="4" t="n"/>
      <c r="X8" s="4" t="n">
        <v>13</v>
      </c>
      <c r="Y8" s="4" t="inlineStr">
        <is>
          <t>2026-07-01</t>
        </is>
      </c>
      <c r="Z8" s="4" t="inlineStr">
        <is>
          <t>com.logistics.rider.efood</t>
        </is>
      </c>
      <c r="AB8" s="4" t="n">
        <v>3</v>
      </c>
      <c r="AC8" s="4" t="inlineStr">
        <is>
          <t>2026-07-01</t>
        </is>
      </c>
      <c r="AD8" s="4" t="inlineStr">
        <is>
          <t>com.logistics.rider.woowabros</t>
        </is>
      </c>
    </row>
    <row r="9">
      <c r="A9" s="7" t="n"/>
      <c r="B9" s="7" t="n"/>
      <c r="C9" s="7" t="inlineStr">
        <is>
          <t>2026-07-08</t>
        </is>
      </c>
      <c r="D9" s="7">
        <f>SUMIFS(V:V,U:U,"*"&amp;$B$10&amp;"*",T:T,C9)</f>
        <v/>
      </c>
      <c r="E9" s="7">
        <f>SUMIFS(X:X,Z:Z,"*"&amp;$B$10&amp;"*",Y:Y,C9)</f>
        <v/>
      </c>
      <c r="F9" s="7" t="n"/>
      <c r="G9" s="7">
        <f>ROUND(MAX(0,MIN(100,(1-E9/IF(D9&gt;0,D9,SUMIFS(Consolidation!$M:$M,Consolidation!$A:$A,"*"&amp;$B$10&amp;"*")/31))*100)),2)</f>
        <v/>
      </c>
      <c r="H9" s="7">
        <f>MIN(1,(G9-$B$3)/($B$4-$B$3))*$B$1</f>
        <v/>
      </c>
      <c r="I9" s="7" t="n"/>
      <c r="J9" s="7" t="n"/>
      <c r="K9" s="7">
        <f>SUMIFS(AB:AB,AD:AD,"*"&amp;$B$10&amp;"*",AC:AC,C9)</f>
        <v/>
      </c>
      <c r="L9" s="7">
        <f>ROUND(MAX(0,MIN(100,100*(1-K9/IF(D9&gt;0,D9,SUMIFS(Consolidation!$M:$M,Consolidation!$A:$A,"*"&amp;$B$10&amp;"*")/31)))),2)</f>
        <v/>
      </c>
      <c r="M9" s="7">
        <f>MAX(0,(L9-$B$6)/($B$7-$B$6)*$B$8)</f>
        <v/>
      </c>
      <c r="N9" s="7">
        <f>$B$2+H9+M9</f>
        <v/>
      </c>
      <c r="T9" s="7" t="n"/>
      <c r="U9" s="7" t="n"/>
      <c r="V9" s="7" t="n"/>
      <c r="X9" s="7" t="n">
        <v>3</v>
      </c>
      <c r="Y9" s="7" t="inlineStr">
        <is>
          <t>2026-07-01</t>
        </is>
      </c>
      <c r="Z9" s="7" t="inlineStr">
        <is>
          <t>com.logistics.rider.foody</t>
        </is>
      </c>
      <c r="AB9" s="7" t="n">
        <v>10</v>
      </c>
      <c r="AC9" s="7" t="inlineStr">
        <is>
          <t>2026-07-01</t>
        </is>
      </c>
      <c r="AD9" s="7" t="inlineStr">
        <is>
          <t>com.logistics.rider.efood</t>
        </is>
      </c>
    </row>
    <row r="10">
      <c r="A10" s="19" t="inlineStr">
        <is>
          <t>Brand</t>
        </is>
      </c>
      <c r="B10" s="20" t="inlineStr">
        <is>
          <t>woowa</t>
        </is>
      </c>
      <c r="C10" s="4" t="inlineStr">
        <is>
          <t>2026-07-09</t>
        </is>
      </c>
      <c r="D10" s="4" t="n"/>
      <c r="E10" s="4" t="n"/>
      <c r="F10" s="4" t="n"/>
      <c r="G10" s="4" t="n"/>
      <c r="H10" s="4" t="n"/>
      <c r="I10" s="4" t="n"/>
      <c r="J10" s="4" t="n"/>
      <c r="K10" s="4" t="n"/>
      <c r="L10" s="4" t="n"/>
      <c r="M10" s="4" t="n"/>
      <c r="N10" s="4" t="n"/>
      <c r="T10" s="4" t="n"/>
      <c r="U10" s="4" t="n"/>
      <c r="V10" s="4" t="n"/>
      <c r="X10" s="4" t="n">
        <v>117</v>
      </c>
      <c r="Y10" s="4" t="inlineStr">
        <is>
          <t>2026-07-02</t>
        </is>
      </c>
      <c r="Z10" s="4" t="inlineStr">
        <is>
          <t>com.logistics.rider.foodpanda</t>
        </is>
      </c>
      <c r="AB10" s="4" t="n">
        <v>3</v>
      </c>
      <c r="AC10" s="4" t="inlineStr">
        <is>
          <t>2026-07-01</t>
        </is>
      </c>
      <c r="AD10" s="4" t="inlineStr">
        <is>
          <t>com.logistics.rider.foody</t>
        </is>
      </c>
    </row>
    <row r="11">
      <c r="A11" s="7" t="n"/>
      <c r="B11" s="7" t="n"/>
      <c r="C11" s="7" t="inlineStr">
        <is>
          <t>2026-07-10</t>
        </is>
      </c>
      <c r="D11" s="7" t="n"/>
      <c r="E11" s="7" t="n"/>
      <c r="F11" s="7" t="n"/>
      <c r="G11" s="7" t="n"/>
      <c r="H11" s="7" t="n"/>
      <c r="I11" s="7" t="n"/>
      <c r="J11" s="7" t="n"/>
      <c r="K11" s="7" t="n"/>
      <c r="L11" s="7" t="n"/>
      <c r="M11" s="7" t="n"/>
      <c r="N11" s="7" t="n"/>
      <c r="T11" s="7" t="n"/>
      <c r="U11" s="7" t="n"/>
      <c r="V11" s="7" t="n"/>
      <c r="X11" s="7" t="n">
        <v>18</v>
      </c>
      <c r="Y11" s="7" t="inlineStr">
        <is>
          <t>2026-07-02</t>
        </is>
      </c>
      <c r="Z11" s="7" t="inlineStr">
        <is>
          <t>com.logistics.rider.foodora</t>
        </is>
      </c>
      <c r="AB11" s="7" t="n">
        <v>365</v>
      </c>
      <c r="AC11" s="7" t="inlineStr">
        <is>
          <t>2026-07-02</t>
        </is>
      </c>
      <c r="AD11" s="7" t="inlineStr">
        <is>
          <t>com.logistics.rider.foodpanda</t>
        </is>
      </c>
    </row>
    <row r="12">
      <c r="A12" s="7" t="n"/>
      <c r="B12" s="7" t="n"/>
      <c r="C12" s="4" t="inlineStr">
        <is>
          <t>2026-07-11</t>
        </is>
      </c>
      <c r="D12" s="4" t="n"/>
      <c r="E12" s="4" t="n"/>
      <c r="F12" s="4" t="n"/>
      <c r="G12" s="4" t="n"/>
      <c r="H12" s="4" t="n"/>
      <c r="I12" s="4" t="n"/>
      <c r="J12" s="4" t="n"/>
      <c r="K12" s="4" t="n"/>
      <c r="L12" s="4" t="n"/>
      <c r="M12" s="4" t="n"/>
      <c r="N12" s="4" t="n"/>
      <c r="T12" s="4" t="n"/>
      <c r="U12" s="4" t="n"/>
      <c r="V12" s="4" t="n"/>
      <c r="X12" s="4" t="n">
        <v>71</v>
      </c>
      <c r="Y12" s="4" t="inlineStr">
        <is>
          <t>2026-07-02</t>
        </is>
      </c>
      <c r="Z12" s="4" t="inlineStr">
        <is>
          <t>com.logistics.rider.talabat</t>
        </is>
      </c>
      <c r="AB12" s="4" t="n">
        <v>37</v>
      </c>
      <c r="AC12" s="4" t="inlineStr">
        <is>
          <t>2026-07-02</t>
        </is>
      </c>
      <c r="AD12" s="4" t="inlineStr">
        <is>
          <t>com.logistics.rider.foodora</t>
        </is>
      </c>
    </row>
    <row r="13">
      <c r="A13" s="7" t="n"/>
      <c r="B13" s="7" t="n"/>
      <c r="C13" s="7" t="inlineStr">
        <is>
          <t>2026-07-12</t>
        </is>
      </c>
      <c r="D13" s="7" t="n"/>
      <c r="E13" s="7" t="n"/>
      <c r="F13" s="7" t="n"/>
      <c r="G13" s="7" t="n"/>
      <c r="H13" s="7" t="n"/>
      <c r="I13" s="7" t="n"/>
      <c r="J13" s="7" t="n"/>
      <c r="K13" s="7" t="n"/>
      <c r="L13" s="7" t="n"/>
      <c r="M13" s="7" t="n"/>
      <c r="N13" s="7" t="n"/>
      <c r="T13" s="7" t="n"/>
      <c r="U13" s="7" t="n"/>
      <c r="V13" s="7" t="n"/>
      <c r="X13" s="7" t="n">
        <v>26</v>
      </c>
      <c r="Y13" s="7" t="inlineStr">
        <is>
          <t>2026-07-02</t>
        </is>
      </c>
      <c r="Z13" s="7" t="inlineStr">
        <is>
          <t>com.logistics.rider.pedidosya</t>
        </is>
      </c>
      <c r="AB13" s="7" t="n">
        <v>180</v>
      </c>
      <c r="AC13" s="7" t="inlineStr">
        <is>
          <t>2026-07-02</t>
        </is>
      </c>
      <c r="AD13" s="7" t="inlineStr">
        <is>
          <t>com.logistics.rider.talabat</t>
        </is>
      </c>
    </row>
    <row r="14">
      <c r="A14" s="7" t="n"/>
      <c r="B14" s="7" t="n"/>
      <c r="C14" s="4" t="inlineStr">
        <is>
          <t>2026-07-13</t>
        </is>
      </c>
      <c r="D14" s="4" t="n"/>
      <c r="E14" s="4" t="n"/>
      <c r="F14" s="4" t="n"/>
      <c r="G14" s="4" t="n"/>
      <c r="H14" s="4" t="n"/>
      <c r="I14" s="4" t="n"/>
      <c r="J14" s="4" t="n"/>
      <c r="K14" s="4" t="n"/>
      <c r="L14" s="4" t="n"/>
      <c r="M14" s="4" t="n"/>
      <c r="N14" s="4" t="n"/>
      <c r="T14" s="4" t="n"/>
      <c r="U14" s="4" t="n"/>
      <c r="V14" s="4" t="n"/>
      <c r="X14" s="4" t="n">
        <v>20</v>
      </c>
      <c r="Y14" s="4" t="inlineStr">
        <is>
          <t>2026-07-02</t>
        </is>
      </c>
      <c r="Z14" s="4" t="inlineStr">
        <is>
          <t>com.logistics.rider.hungerstation</t>
        </is>
      </c>
      <c r="AB14" s="4" t="n">
        <v>49</v>
      </c>
      <c r="AC14" s="4" t="inlineStr">
        <is>
          <t>2026-07-02</t>
        </is>
      </c>
      <c r="AD14" s="4" t="inlineStr">
        <is>
          <t>com.logistics.rider.pedidosya</t>
        </is>
      </c>
    </row>
    <row r="15">
      <c r="A15" s="7" t="n"/>
      <c r="B15" s="7" t="n"/>
      <c r="C15" s="7" t="inlineStr">
        <is>
          <t>2026-07-14</t>
        </is>
      </c>
      <c r="D15" s="7" t="n"/>
      <c r="E15" s="7" t="n"/>
      <c r="F15" s="7" t="n"/>
      <c r="G15" s="7" t="n"/>
      <c r="H15" s="7" t="n"/>
      <c r="I15" s="7" t="n"/>
      <c r="J15" s="7" t="n"/>
      <c r="K15" s="7" t="n"/>
      <c r="L15" s="7" t="n"/>
      <c r="M15" s="7" t="n"/>
      <c r="N15" s="7" t="n"/>
      <c r="T15" s="7" t="n"/>
      <c r="U15" s="7" t="n"/>
      <c r="V15" s="7" t="n"/>
      <c r="X15" s="7" t="n">
        <v>81</v>
      </c>
      <c r="Y15" s="7" t="inlineStr">
        <is>
          <t>2026-07-02</t>
        </is>
      </c>
      <c r="Z15" s="7" t="inlineStr">
        <is>
          <t>com.logistics.rider.glovo</t>
        </is>
      </c>
      <c r="AB15" s="7" t="n">
        <v>47</v>
      </c>
      <c r="AC15" s="7" t="inlineStr">
        <is>
          <t>2026-07-02</t>
        </is>
      </c>
      <c r="AD15" s="7" t="inlineStr">
        <is>
          <t>com.logistics.rider.hungerstation</t>
        </is>
      </c>
    </row>
    <row r="16">
      <c r="A16" s="7" t="n"/>
      <c r="B16" s="7" t="n"/>
      <c r="C16" s="4" t="inlineStr">
        <is>
          <t>2026-07-15</t>
        </is>
      </c>
      <c r="D16" s="4" t="n"/>
      <c r="E16" s="4" t="n"/>
      <c r="F16" s="4" t="n"/>
      <c r="G16" s="4" t="n"/>
      <c r="H16" s="4" t="n"/>
      <c r="I16" s="4" t="n"/>
      <c r="J16" s="4" t="n"/>
      <c r="K16" s="4" t="n"/>
      <c r="L16" s="4" t="n"/>
      <c r="M16" s="4" t="n"/>
      <c r="N16" s="4" t="n"/>
      <c r="T16" s="4" t="n"/>
      <c r="U16" s="4" t="n"/>
      <c r="V16" s="4" t="n"/>
      <c r="X16" s="4" t="n">
        <v>11</v>
      </c>
      <c r="Y16" s="4" t="inlineStr">
        <is>
          <t>2026-07-02</t>
        </is>
      </c>
      <c r="Z16" s="4" t="inlineStr">
        <is>
          <t>com.logistics.rider.efood</t>
        </is>
      </c>
      <c r="AB16" s="4" t="n">
        <v>168</v>
      </c>
      <c r="AC16" s="4" t="inlineStr">
        <is>
          <t>2026-07-02</t>
        </is>
      </c>
      <c r="AD16" s="4" t="inlineStr">
        <is>
          <t>com.logistics.rider.glovo</t>
        </is>
      </c>
    </row>
    <row r="17">
      <c r="A17" s="7" t="n"/>
      <c r="B17" s="7" t="n"/>
      <c r="C17" s="7" t="inlineStr">
        <is>
          <t>2026-07-16</t>
        </is>
      </c>
      <c r="D17" s="7" t="n"/>
      <c r="E17" s="7" t="n"/>
      <c r="F17" s="7" t="n"/>
      <c r="G17" s="7" t="n"/>
      <c r="H17" s="7" t="n"/>
      <c r="I17" s="7" t="n"/>
      <c r="J17" s="7" t="n"/>
      <c r="K17" s="7" t="n"/>
      <c r="L17" s="7" t="n"/>
      <c r="M17" s="7" t="n"/>
      <c r="N17" s="7" t="n"/>
      <c r="T17" s="7" t="n"/>
      <c r="U17" s="7" t="n"/>
      <c r="V17" s="7" t="n"/>
      <c r="X17" s="7" t="n">
        <v>3</v>
      </c>
      <c r="Y17" s="7" t="inlineStr">
        <is>
          <t>2026-07-02</t>
        </is>
      </c>
      <c r="Z17" s="7" t="inlineStr">
        <is>
          <t>com.logistics.rider.foody</t>
        </is>
      </c>
      <c r="AB17" s="7" t="n">
        <v>1</v>
      </c>
      <c r="AC17" s="7" t="inlineStr">
        <is>
          <t>2026-07-02</t>
        </is>
      </c>
      <c r="AD17" s="7" t="inlineStr">
        <is>
          <t>com.logistics.rider.woowabros</t>
        </is>
      </c>
    </row>
    <row r="18">
      <c r="A18" s="7" t="n"/>
      <c r="B18" s="7" t="n"/>
      <c r="C18" s="4" t="inlineStr">
        <is>
          <t>2026-07-17</t>
        </is>
      </c>
      <c r="D18" s="4" t="n"/>
      <c r="E18" s="4" t="n"/>
      <c r="F18" s="4" t="n"/>
      <c r="G18" s="4" t="n"/>
      <c r="H18" s="4" t="n"/>
      <c r="I18" s="4" t="n"/>
      <c r="J18" s="4" t="n"/>
      <c r="K18" s="4" t="n"/>
      <c r="L18" s="4" t="n"/>
      <c r="M18" s="4" t="n"/>
      <c r="N18" s="4" t="n"/>
      <c r="T18" s="4" t="n"/>
      <c r="U18" s="4" t="n"/>
      <c r="V18" s="4" t="n"/>
      <c r="X18" s="4" t="n">
        <v>139</v>
      </c>
      <c r="Y18" s="4" t="inlineStr">
        <is>
          <t>2026-07-03</t>
        </is>
      </c>
      <c r="Z18" s="4" t="inlineStr">
        <is>
          <t>com.logistics.rider.foodpanda</t>
        </is>
      </c>
      <c r="AB18" s="4" t="n">
        <v>9</v>
      </c>
      <c r="AC18" s="4" t="inlineStr">
        <is>
          <t>2026-07-02</t>
        </is>
      </c>
      <c r="AD18" s="4" t="inlineStr">
        <is>
          <t>com.logistics.rider.efood</t>
        </is>
      </c>
    </row>
    <row r="19">
      <c r="A19" s="7" t="n"/>
      <c r="B19" s="7" t="n"/>
      <c r="C19" s="7" t="inlineStr">
        <is>
          <t>2026-07-18</t>
        </is>
      </c>
      <c r="D19" s="7" t="n"/>
      <c r="E19" s="7" t="n"/>
      <c r="F19" s="7" t="n"/>
      <c r="G19" s="7" t="n"/>
      <c r="H19" s="7" t="n"/>
      <c r="I19" s="7" t="n"/>
      <c r="J19" s="7" t="n"/>
      <c r="K19" s="7" t="n"/>
      <c r="L19" s="7" t="n"/>
      <c r="M19" s="7" t="n"/>
      <c r="N19" s="7" t="n"/>
      <c r="T19" s="7" t="n"/>
      <c r="U19" s="7" t="n"/>
      <c r="V19" s="7" t="n"/>
      <c r="X19" s="7" t="n">
        <v>14</v>
      </c>
      <c r="Y19" s="7" t="inlineStr">
        <is>
          <t>2026-07-03</t>
        </is>
      </c>
      <c r="Z19" s="7" t="inlineStr">
        <is>
          <t>com.logistics.rider.foodora</t>
        </is>
      </c>
      <c r="AB19" s="7" t="n">
        <v>2</v>
      </c>
      <c r="AC19" s="7" t="inlineStr">
        <is>
          <t>2026-07-02</t>
        </is>
      </c>
      <c r="AD19" s="7" t="inlineStr">
        <is>
          <t>com.logistics.rider.foody</t>
        </is>
      </c>
    </row>
    <row r="20">
      <c r="A20" s="7" t="n"/>
      <c r="B20" s="7" t="n"/>
      <c r="C20" s="4" t="inlineStr">
        <is>
          <t>2026-07-19</t>
        </is>
      </c>
      <c r="D20" s="4" t="n"/>
      <c r="E20" s="4" t="n"/>
      <c r="F20" s="4" t="n"/>
      <c r="G20" s="4" t="n"/>
      <c r="H20" s="4" t="n"/>
      <c r="I20" s="4" t="n"/>
      <c r="J20" s="4" t="n"/>
      <c r="K20" s="4" t="n"/>
      <c r="L20" s="4" t="n"/>
      <c r="M20" s="4" t="n"/>
      <c r="N20" s="4" t="n"/>
      <c r="T20" s="4" t="n"/>
      <c r="U20" s="4" t="n"/>
      <c r="V20" s="4" t="n"/>
      <c r="X20" s="4" t="n">
        <v>68</v>
      </c>
      <c r="Y20" s="4" t="inlineStr">
        <is>
          <t>2026-07-03</t>
        </is>
      </c>
      <c r="Z20" s="4" t="inlineStr">
        <is>
          <t>com.logistics.rider.talabat</t>
        </is>
      </c>
      <c r="AB20" s="4" t="n">
        <v>415</v>
      </c>
      <c r="AC20" s="4" t="inlineStr">
        <is>
          <t>2026-07-03</t>
        </is>
      </c>
      <c r="AD20" s="4" t="inlineStr">
        <is>
          <t>com.logistics.rider.foodpanda</t>
        </is>
      </c>
    </row>
    <row r="21">
      <c r="A21" s="7" t="n"/>
      <c r="B21" s="7" t="n"/>
      <c r="C21" s="7" t="inlineStr">
        <is>
          <t>2026-07-20</t>
        </is>
      </c>
      <c r="D21" s="7" t="n"/>
      <c r="E21" s="7" t="n"/>
      <c r="F21" s="7" t="n"/>
      <c r="G21" s="7" t="n"/>
      <c r="H21" s="7" t="n"/>
      <c r="I21" s="7" t="n"/>
      <c r="J21" s="7" t="n"/>
      <c r="K21" s="7" t="n"/>
      <c r="L21" s="7" t="n"/>
      <c r="M21" s="7" t="n"/>
      <c r="N21" s="7" t="n"/>
      <c r="T21" s="7" t="n"/>
      <c r="U21" s="7" t="n"/>
      <c r="V21" s="7" t="n"/>
      <c r="X21" s="7" t="n">
        <v>28</v>
      </c>
      <c r="Y21" s="7" t="inlineStr">
        <is>
          <t>2026-07-03</t>
        </is>
      </c>
      <c r="Z21" s="7" t="inlineStr">
        <is>
          <t>com.logistics.rider.pedidosya</t>
        </is>
      </c>
      <c r="AB21" s="7" t="n">
        <v>41</v>
      </c>
      <c r="AC21" s="7" t="inlineStr">
        <is>
          <t>2026-07-03</t>
        </is>
      </c>
      <c r="AD21" s="7" t="inlineStr">
        <is>
          <t>com.logistics.rider.foodora</t>
        </is>
      </c>
    </row>
    <row r="22">
      <c r="A22" s="7" t="n"/>
      <c r="B22" s="7" t="n"/>
      <c r="C22" s="4" t="inlineStr">
        <is>
          <t>2026-07-21</t>
        </is>
      </c>
      <c r="D22" s="4" t="n"/>
      <c r="E22" s="4" t="n"/>
      <c r="F22" s="4" t="n"/>
      <c r="G22" s="4" t="n"/>
      <c r="H22" s="4" t="n"/>
      <c r="I22" s="4" t="n"/>
      <c r="J22" s="4" t="n"/>
      <c r="K22" s="4" t="n"/>
      <c r="L22" s="4" t="n"/>
      <c r="M22" s="4" t="n"/>
      <c r="N22" s="4" t="n"/>
      <c r="T22" s="4" t="n"/>
      <c r="U22" s="4" t="n"/>
      <c r="V22" s="4" t="n"/>
      <c r="X22" s="4" t="n">
        <v>17</v>
      </c>
      <c r="Y22" s="4" t="inlineStr">
        <is>
          <t>2026-07-03</t>
        </is>
      </c>
      <c r="Z22" s="4" t="inlineStr">
        <is>
          <t>com.logistics.rider.hungerstation</t>
        </is>
      </c>
      <c r="AB22" s="4" t="n">
        <v>160</v>
      </c>
      <c r="AC22" s="4" t="inlineStr">
        <is>
          <t>2026-07-03</t>
        </is>
      </c>
      <c r="AD22" s="4" t="inlineStr">
        <is>
          <t>com.logistics.rider.talabat</t>
        </is>
      </c>
    </row>
    <row r="23">
      <c r="A23" s="7" t="n"/>
      <c r="B23" s="7" t="n"/>
      <c r="C23" s="7" t="inlineStr">
        <is>
          <t>2026-07-22</t>
        </is>
      </c>
      <c r="D23" s="7" t="n"/>
      <c r="E23" s="7" t="n"/>
      <c r="F23" s="7" t="n"/>
      <c r="G23" s="7" t="n"/>
      <c r="H23" s="7" t="n"/>
      <c r="I23" s="7" t="n"/>
      <c r="J23" s="7" t="n"/>
      <c r="K23" s="7" t="n"/>
      <c r="L23" s="7" t="n"/>
      <c r="M23" s="7" t="n"/>
      <c r="N23" s="7" t="n"/>
      <c r="T23" s="7" t="n"/>
      <c r="U23" s="7" t="n"/>
      <c r="V23" s="7" t="n"/>
      <c r="X23" s="7" t="n">
        <v>106</v>
      </c>
      <c r="Y23" s="7" t="inlineStr">
        <is>
          <t>2026-07-03</t>
        </is>
      </c>
      <c r="Z23" s="7" t="inlineStr">
        <is>
          <t>com.logistics.rider.glovo</t>
        </is>
      </c>
      <c r="AB23" s="7" t="n">
        <v>64</v>
      </c>
      <c r="AC23" s="7" t="inlineStr">
        <is>
          <t>2026-07-03</t>
        </is>
      </c>
      <c r="AD23" s="7" t="inlineStr">
        <is>
          <t>com.logistics.rider.pedidosya</t>
        </is>
      </c>
    </row>
    <row r="24">
      <c r="A24" s="7" t="n"/>
      <c r="B24" s="7" t="n"/>
      <c r="C24" s="4" t="inlineStr">
        <is>
          <t>2026-07-23</t>
        </is>
      </c>
      <c r="D24" s="4" t="n"/>
      <c r="E24" s="4" t="n"/>
      <c r="F24" s="4" t="n"/>
      <c r="G24" s="4" t="n"/>
      <c r="H24" s="4" t="n"/>
      <c r="I24" s="4" t="n"/>
      <c r="J24" s="4" t="n"/>
      <c r="K24" s="4" t="n"/>
      <c r="L24" s="4" t="n"/>
      <c r="M24" s="4" t="n"/>
      <c r="N24" s="4" t="n"/>
      <c r="T24" s="4" t="n"/>
      <c r="U24" s="4" t="n"/>
      <c r="V24" s="4" t="n"/>
      <c r="X24" s="4" t="n">
        <v>1</v>
      </c>
      <c r="Y24" s="4" t="inlineStr">
        <is>
          <t>2026-07-03</t>
        </is>
      </c>
      <c r="Z24" s="4" t="inlineStr">
        <is>
          <t>com.logistics.rider.woowabros</t>
        </is>
      </c>
      <c r="AB24" s="4" t="n">
        <v>32</v>
      </c>
      <c r="AC24" s="4" t="inlineStr">
        <is>
          <t>2026-07-03</t>
        </is>
      </c>
      <c r="AD24" s="4" t="inlineStr">
        <is>
          <t>com.logistics.rider.hungerstation</t>
        </is>
      </c>
    </row>
    <row r="25">
      <c r="A25" s="7" t="n"/>
      <c r="B25" s="7" t="n"/>
      <c r="C25" s="7" t="inlineStr">
        <is>
          <t>2026-07-24</t>
        </is>
      </c>
      <c r="D25" s="7" t="n"/>
      <c r="E25" s="7" t="n"/>
      <c r="F25" s="7" t="n"/>
      <c r="G25" s="7" t="n"/>
      <c r="H25" s="7" t="n"/>
      <c r="I25" s="7" t="n"/>
      <c r="J25" s="7" t="n"/>
      <c r="K25" s="7" t="n"/>
      <c r="L25" s="7" t="n"/>
      <c r="M25" s="7" t="n"/>
      <c r="N25" s="7" t="n"/>
      <c r="T25" s="7" t="n"/>
      <c r="U25" s="7" t="n"/>
      <c r="V25" s="7" t="n"/>
      <c r="X25" s="7" t="n">
        <v>9</v>
      </c>
      <c r="Y25" s="7" t="inlineStr">
        <is>
          <t>2026-07-03</t>
        </is>
      </c>
      <c r="Z25" s="7" t="inlineStr">
        <is>
          <t>com.logistics.rider.efood</t>
        </is>
      </c>
      <c r="AB25" s="7" t="n">
        <v>162</v>
      </c>
      <c r="AC25" s="7" t="inlineStr">
        <is>
          <t>2026-07-03</t>
        </is>
      </c>
      <c r="AD25" s="7" t="inlineStr">
        <is>
          <t>com.logistics.rider.glovo</t>
        </is>
      </c>
    </row>
    <row r="26">
      <c r="A26" s="7" t="n"/>
      <c r="B26" s="7" t="n"/>
      <c r="C26" s="4" t="inlineStr">
        <is>
          <t>2026-07-25</t>
        </is>
      </c>
      <c r="D26" s="4" t="n"/>
      <c r="E26" s="4" t="n"/>
      <c r="F26" s="4" t="n"/>
      <c r="G26" s="4" t="n"/>
      <c r="H26" s="4" t="n"/>
      <c r="I26" s="4" t="n"/>
      <c r="J26" s="4" t="n"/>
      <c r="K26" s="4" t="n"/>
      <c r="L26" s="4" t="n"/>
      <c r="M26" s="4" t="n"/>
      <c r="N26" s="4" t="n"/>
      <c r="T26" s="4" t="n"/>
      <c r="U26" s="4" t="n"/>
      <c r="V26" s="4" t="n"/>
      <c r="X26" s="4" t="n">
        <v>3</v>
      </c>
      <c r="Y26" s="4" t="inlineStr">
        <is>
          <t>2026-07-03</t>
        </is>
      </c>
      <c r="Z26" s="4" t="inlineStr">
        <is>
          <t>com.logistics.rider.foody</t>
        </is>
      </c>
      <c r="AB26" s="4" t="n">
        <v>4</v>
      </c>
      <c r="AC26" s="4" t="inlineStr">
        <is>
          <t>2026-07-03</t>
        </is>
      </c>
      <c r="AD26" s="4" t="inlineStr">
        <is>
          <t>com.logistics.rider.woowabros</t>
        </is>
      </c>
    </row>
    <row r="27">
      <c r="A27" s="7" t="n"/>
      <c r="B27" s="7" t="n"/>
      <c r="C27" s="7" t="inlineStr">
        <is>
          <t>2026-07-26</t>
        </is>
      </c>
      <c r="D27" s="7" t="n"/>
      <c r="E27" s="7" t="n"/>
      <c r="F27" s="7" t="n"/>
      <c r="G27" s="7" t="n"/>
      <c r="H27" s="7" t="n"/>
      <c r="I27" s="7" t="n"/>
      <c r="J27" s="7" t="n"/>
      <c r="K27" s="7" t="n"/>
      <c r="L27" s="7" t="n"/>
      <c r="M27" s="7" t="n"/>
      <c r="N27" s="7" t="n"/>
      <c r="T27" s="7" t="n"/>
      <c r="U27" s="7" t="n"/>
      <c r="V27" s="7" t="n"/>
      <c r="X27" s="7" t="n">
        <v>145</v>
      </c>
      <c r="Y27" s="7" t="inlineStr">
        <is>
          <t>2026-07-04</t>
        </is>
      </c>
      <c r="Z27" s="7" t="inlineStr">
        <is>
          <t>com.logistics.rider.foodpanda</t>
        </is>
      </c>
      <c r="AB27" s="7" t="n">
        <v>5</v>
      </c>
      <c r="AC27" s="7" t="inlineStr">
        <is>
          <t>2026-07-03</t>
        </is>
      </c>
      <c r="AD27" s="7" t="inlineStr">
        <is>
          <t>com.logistics.rider.efood</t>
        </is>
      </c>
    </row>
    <row r="28">
      <c r="A28" s="7" t="n"/>
      <c r="B28" s="7" t="n"/>
      <c r="C28" s="4" t="inlineStr">
        <is>
          <t>2026-07-27</t>
        </is>
      </c>
      <c r="D28" s="4" t="n"/>
      <c r="E28" s="4" t="n"/>
      <c r="F28" s="4" t="n"/>
      <c r="G28" s="4" t="n"/>
      <c r="H28" s="4" t="n"/>
      <c r="I28" s="4" t="n"/>
      <c r="J28" s="4" t="n"/>
      <c r="K28" s="4" t="n"/>
      <c r="L28" s="4" t="n"/>
      <c r="M28" s="4" t="n"/>
      <c r="N28" s="4" t="n"/>
      <c r="T28" s="4" t="n"/>
      <c r="U28" s="4" t="n"/>
      <c r="V28" s="4" t="n"/>
      <c r="X28" s="4" t="n">
        <v>20</v>
      </c>
      <c r="Y28" s="4" t="inlineStr">
        <is>
          <t>2026-07-04</t>
        </is>
      </c>
      <c r="Z28" s="4" t="inlineStr">
        <is>
          <t>com.logistics.rider.foodora</t>
        </is>
      </c>
      <c r="AB28" s="4" t="n">
        <v>1</v>
      </c>
      <c r="AC28" s="4" t="inlineStr">
        <is>
          <t>2026-07-03</t>
        </is>
      </c>
      <c r="AD28" s="4" t="inlineStr">
        <is>
          <t>com.logistics.rider.foody</t>
        </is>
      </c>
    </row>
    <row r="29">
      <c r="A29" s="7" t="n"/>
      <c r="B29" s="7" t="n"/>
      <c r="C29" s="7" t="inlineStr">
        <is>
          <t>2026-07-28</t>
        </is>
      </c>
      <c r="D29" s="7" t="n"/>
      <c r="E29" s="7" t="n"/>
      <c r="F29" s="7" t="n"/>
      <c r="G29" s="7" t="n"/>
      <c r="H29" s="7" t="n"/>
      <c r="I29" s="7" t="n"/>
      <c r="J29" s="7" t="n"/>
      <c r="K29" s="7" t="n"/>
      <c r="L29" s="7" t="n"/>
      <c r="M29" s="7" t="n"/>
      <c r="N29" s="7" t="n"/>
      <c r="T29" s="7" t="n"/>
      <c r="U29" s="7" t="n"/>
      <c r="V29" s="7" t="n"/>
      <c r="X29" s="7" t="n">
        <v>73</v>
      </c>
      <c r="Y29" s="7" t="inlineStr">
        <is>
          <t>2026-07-04</t>
        </is>
      </c>
      <c r="Z29" s="7" t="inlineStr">
        <is>
          <t>com.logistics.rider.talabat</t>
        </is>
      </c>
      <c r="AB29" s="7" t="n">
        <v>445</v>
      </c>
      <c r="AC29" s="7" t="inlineStr">
        <is>
          <t>2026-07-04</t>
        </is>
      </c>
      <c r="AD29" s="7" t="inlineStr">
        <is>
          <t>com.logistics.rider.foodpanda</t>
        </is>
      </c>
    </row>
    <row r="30">
      <c r="A30" s="7" t="n"/>
      <c r="B30" s="7" t="n"/>
      <c r="C30" s="4" t="inlineStr">
        <is>
          <t>2026-07-29</t>
        </is>
      </c>
      <c r="D30" s="4" t="n"/>
      <c r="E30" s="4" t="n"/>
      <c r="F30" s="4" t="n"/>
      <c r="G30" s="4" t="n"/>
      <c r="H30" s="4" t="n"/>
      <c r="I30" s="4" t="n"/>
      <c r="J30" s="4" t="n"/>
      <c r="K30" s="4" t="n"/>
      <c r="L30" s="4" t="n"/>
      <c r="M30" s="4" t="n"/>
      <c r="N30" s="4" t="n"/>
      <c r="T30" s="4" t="n"/>
      <c r="U30" s="4" t="n"/>
      <c r="V30" s="4" t="n"/>
      <c r="X30" s="4" t="n">
        <v>31</v>
      </c>
      <c r="Y30" s="4" t="inlineStr">
        <is>
          <t>2026-07-04</t>
        </is>
      </c>
      <c r="Z30" s="4" t="inlineStr">
        <is>
          <t>com.logistics.rider.pedidosya</t>
        </is>
      </c>
      <c r="AB30" s="4" t="n">
        <v>22</v>
      </c>
      <c r="AC30" s="4" t="inlineStr">
        <is>
          <t>2026-07-04</t>
        </is>
      </c>
      <c r="AD30" s="4" t="inlineStr">
        <is>
          <t>com.logistics.rider.foodora</t>
        </is>
      </c>
    </row>
    <row r="31">
      <c r="A31" s="7" t="n"/>
      <c r="B31" s="7" t="n"/>
      <c r="C31" s="7" t="inlineStr">
        <is>
          <t>2026-07-30</t>
        </is>
      </c>
      <c r="D31" s="7" t="n"/>
      <c r="E31" s="7" t="n"/>
      <c r="F31" s="7" t="n"/>
      <c r="G31" s="7" t="n"/>
      <c r="H31" s="7" t="n"/>
      <c r="I31" s="7" t="n"/>
      <c r="J31" s="7" t="n"/>
      <c r="K31" s="7" t="n"/>
      <c r="L31" s="7" t="n"/>
      <c r="M31" s="7" t="n"/>
      <c r="N31" s="7" t="n"/>
      <c r="T31" s="7" t="n"/>
      <c r="U31" s="7" t="n"/>
      <c r="V31" s="7" t="n"/>
      <c r="X31" s="7" t="n">
        <v>16</v>
      </c>
      <c r="Y31" s="7" t="inlineStr">
        <is>
          <t>2026-07-04</t>
        </is>
      </c>
      <c r="Z31" s="7" t="inlineStr">
        <is>
          <t>com.logistics.rider.hungerstation</t>
        </is>
      </c>
      <c r="AB31" s="7" t="n">
        <v>143</v>
      </c>
      <c r="AC31" s="7" t="inlineStr">
        <is>
          <t>2026-07-04</t>
        </is>
      </c>
      <c r="AD31" s="7" t="inlineStr">
        <is>
          <t>com.logistics.rider.talabat</t>
        </is>
      </c>
    </row>
    <row r="32">
      <c r="A32" s="7" t="n"/>
      <c r="B32" s="7" t="n"/>
      <c r="C32" s="4" t="inlineStr">
        <is>
          <t>2026-07-31</t>
        </is>
      </c>
      <c r="D32" s="4" t="n"/>
      <c r="E32" s="4" t="n"/>
      <c r="F32" s="4" t="n"/>
      <c r="G32" s="4" t="n"/>
      <c r="H32" s="4" t="n"/>
      <c r="I32" s="4" t="n"/>
      <c r="J32" s="4" t="n"/>
      <c r="K32" s="4" t="n"/>
      <c r="L32" s="4" t="n"/>
      <c r="M32" s="4" t="n"/>
      <c r="N32" s="4" t="n"/>
      <c r="T32" s="4" t="n"/>
      <c r="U32" s="4" t="n"/>
      <c r="V32" s="4" t="n"/>
      <c r="X32" s="4" t="n">
        <v>108</v>
      </c>
      <c r="Y32" s="4" t="inlineStr">
        <is>
          <t>2026-07-04</t>
        </is>
      </c>
      <c r="Z32" s="4" t="inlineStr">
        <is>
          <t>com.logistics.rider.glovo</t>
        </is>
      </c>
      <c r="AB32" s="4" t="n">
        <v>62</v>
      </c>
      <c r="AC32" s="4" t="inlineStr">
        <is>
          <t>2026-07-04</t>
        </is>
      </c>
      <c r="AD32" s="4" t="inlineStr">
        <is>
          <t>com.logistics.rider.pedidosya</t>
        </is>
      </c>
    </row>
    <row r="33">
      <c r="D33" s="24" t="n"/>
      <c r="E33" s="24" t="n"/>
      <c r="F33" s="24" t="n"/>
      <c r="G33" s="25" t="inlineStr">
        <is>
          <t>AVG CFU</t>
        </is>
      </c>
      <c r="H33" s="24" t="n"/>
      <c r="I33" s="25" t="inlineStr">
        <is>
          <t>July AQS score</t>
        </is>
      </c>
      <c r="J33" s="24" t="n"/>
      <c r="K33" s="24" t="n"/>
      <c r="L33" s="25" t="inlineStr">
        <is>
          <t>AVG Hang-free</t>
        </is>
      </c>
      <c r="M33" s="24" t="n"/>
      <c r="N33" s="25" t="inlineStr">
        <is>
          <t>Projected AQS including hangs</t>
        </is>
      </c>
      <c r="T33" s="7" t="n"/>
      <c r="U33" s="7" t="n"/>
      <c r="V33" s="7" t="n"/>
      <c r="X33" s="7" t="n">
        <v>13</v>
      </c>
      <c r="Y33" s="7" t="inlineStr">
        <is>
          <t>2026-07-04</t>
        </is>
      </c>
      <c r="Z33" s="7" t="inlineStr">
        <is>
          <t>com.logistics.rider.efood</t>
        </is>
      </c>
      <c r="AB33" s="7" t="n">
        <v>40</v>
      </c>
      <c r="AC33" s="7" t="inlineStr">
        <is>
          <t>2026-07-04</t>
        </is>
      </c>
      <c r="AD33" s="7" t="inlineStr">
        <is>
          <t>com.logistics.rider.hungerstation</t>
        </is>
      </c>
    </row>
    <row r="34">
      <c r="D34" s="26">
        <f>AVERAGE(D2:D9)</f>
        <v/>
      </c>
      <c r="E34" s="27" t="n"/>
      <c r="F34" s="27" t="n"/>
      <c r="G34" s="28">
        <f>TRUNC(MAX(0,MIN(100,(1-SUMIFS(X:X,Z:Z,"*"&amp;$B$10&amp;"*")/IF(SUMIFS(V:V,U:U,"*"&amp;$B$10&amp;"*")&gt;0,SUMIFS(V:V,U:U,"*"&amp;$B$10&amp;"*"),SUMIFS(Consolidation!$M:$M,Consolidation!$A:$A,"*"&amp;$B$10&amp;"*")*31))*100)),2)</f>
        <v/>
      </c>
      <c r="H34" s="29">
        <f>AVERAGE(H2:H9)</f>
        <v/>
      </c>
      <c r="I34" s="29">
        <f>$B$2+H34</f>
        <v/>
      </c>
      <c r="J34" s="27" t="n"/>
      <c r="K34" s="27" t="n"/>
      <c r="L34" s="28">
        <f>TRUNC(MAX(0,MIN(100,(1-SUMIFS(AB:AB,AD:AD,"*"&amp;$B$10&amp;"*")/IF(SUMIFS(V:V,U:U,"*"&amp;$B$10&amp;"*")&gt;0,SUMIFS(V:V,U:U,"*"&amp;$B$10&amp;"*"),SUMIFS(Consolidation!$M:$M,Consolidation!$A:$A,"*"&amp;$B$10&amp;"*")*31))*100)),2)</f>
        <v/>
      </c>
      <c r="M34" s="29">
        <f>MAX(0,(L34-$B$6)/($B$7-$B$6)*$B$8)</f>
        <v/>
      </c>
      <c r="N34" s="29">
        <f>$B$2+MAX(0,(G34-$B$3)/($B$4-$B$3)*($B$1-$B$8))+M34</f>
        <v/>
      </c>
      <c r="T34" s="4" t="n"/>
      <c r="U34" s="4" t="n"/>
      <c r="V34" s="4" t="n"/>
      <c r="X34" s="4" t="n">
        <v>2</v>
      </c>
      <c r="Y34" s="4" t="inlineStr">
        <is>
          <t>2026-07-04</t>
        </is>
      </c>
      <c r="Z34" s="4" t="inlineStr">
        <is>
          <t>com.logistics.rider.foody</t>
        </is>
      </c>
      <c r="AB34" s="4" t="n">
        <v>163</v>
      </c>
      <c r="AC34" s="4" t="inlineStr">
        <is>
          <t>2026-07-04</t>
        </is>
      </c>
      <c r="AD34" s="4" t="inlineStr">
        <is>
          <t>com.logistics.rider.glovo</t>
        </is>
      </c>
    </row>
    <row r="35">
      <c r="T35" s="7" t="n"/>
      <c r="U35" s="7" t="n"/>
      <c r="V35" s="7" t="n"/>
      <c r="X35" s="7" t="n">
        <v>105</v>
      </c>
      <c r="Y35" s="7" t="inlineStr">
        <is>
          <t>2026-07-05</t>
        </is>
      </c>
      <c r="Z35" s="7" t="inlineStr">
        <is>
          <t>com.logistics.rider.foodpanda</t>
        </is>
      </c>
      <c r="AB35" s="7" t="n">
        <v>2</v>
      </c>
      <c r="AC35" s="7" t="inlineStr">
        <is>
          <t>2026-07-04</t>
        </is>
      </c>
      <c r="AD35" s="7" t="inlineStr">
        <is>
          <t>com.logistics.rider.woowabros</t>
        </is>
      </c>
    </row>
    <row r="36">
      <c r="T36" s="4" t="n"/>
      <c r="U36" s="4" t="n"/>
      <c r="V36" s="4" t="n"/>
      <c r="X36" s="4" t="n">
        <v>18</v>
      </c>
      <c r="Y36" s="4" t="inlineStr">
        <is>
          <t>2026-07-05</t>
        </is>
      </c>
      <c r="Z36" s="4" t="inlineStr">
        <is>
          <t>com.logistics.rider.foodora</t>
        </is>
      </c>
      <c r="AB36" s="4" t="n">
        <v>8</v>
      </c>
      <c r="AC36" s="4" t="inlineStr">
        <is>
          <t>2026-07-04</t>
        </is>
      </c>
      <c r="AD36" s="4" t="inlineStr">
        <is>
          <t>com.logistics.rider.efood</t>
        </is>
      </c>
    </row>
    <row r="37">
      <c r="T37" s="7" t="n"/>
      <c r="U37" s="7" t="n"/>
      <c r="V37" s="7" t="n"/>
      <c r="X37" s="7" t="n">
        <v>54</v>
      </c>
      <c r="Y37" s="7" t="inlineStr">
        <is>
          <t>2026-07-05</t>
        </is>
      </c>
      <c r="Z37" s="7" t="inlineStr">
        <is>
          <t>com.logistics.rider.talabat</t>
        </is>
      </c>
      <c r="AB37" s="7" t="n">
        <v>2</v>
      </c>
      <c r="AC37" s="7" t="inlineStr">
        <is>
          <t>2026-07-04</t>
        </is>
      </c>
      <c r="AD37" s="7" t="inlineStr">
        <is>
          <t>com.logistics.rider.foody</t>
        </is>
      </c>
    </row>
    <row r="38">
      <c r="T38" s="4" t="n"/>
      <c r="U38" s="4" t="n"/>
      <c r="V38" s="4" t="n"/>
      <c r="X38" s="4" t="n">
        <v>27</v>
      </c>
      <c r="Y38" s="4" t="inlineStr">
        <is>
          <t>2026-07-05</t>
        </is>
      </c>
      <c r="Z38" s="4" t="inlineStr">
        <is>
          <t>com.logistics.rider.pedidosya</t>
        </is>
      </c>
      <c r="AB38" s="4" t="n">
        <v>413</v>
      </c>
      <c r="AC38" s="4" t="inlineStr">
        <is>
          <t>2026-07-05</t>
        </is>
      </c>
      <c r="AD38" s="4" t="inlineStr">
        <is>
          <t>com.logistics.rider.foodpanda</t>
        </is>
      </c>
    </row>
    <row r="39">
      <c r="T39" s="7" t="n"/>
      <c r="U39" s="7" t="n"/>
      <c r="V39" s="7" t="n"/>
      <c r="X39" s="7" t="n">
        <v>13</v>
      </c>
      <c r="Y39" s="7" t="inlineStr">
        <is>
          <t>2026-07-05</t>
        </is>
      </c>
      <c r="Z39" s="7" t="inlineStr">
        <is>
          <t>com.logistics.rider.hungerstation</t>
        </is>
      </c>
      <c r="AB39" s="7" t="n">
        <v>29</v>
      </c>
      <c r="AC39" s="7" t="inlineStr">
        <is>
          <t>2026-07-05</t>
        </is>
      </c>
      <c r="AD39" s="7" t="inlineStr">
        <is>
          <t>com.logistics.rider.foodora</t>
        </is>
      </c>
    </row>
    <row r="40">
      <c r="T40" s="4" t="n"/>
      <c r="U40" s="4" t="n"/>
      <c r="V40" s="4" t="n"/>
      <c r="X40" s="4" t="n">
        <v>89</v>
      </c>
      <c r="Y40" s="4" t="inlineStr">
        <is>
          <t>2026-07-05</t>
        </is>
      </c>
      <c r="Z40" s="4" t="inlineStr">
        <is>
          <t>com.logistics.rider.glovo</t>
        </is>
      </c>
      <c r="AB40" s="4" t="n">
        <v>165</v>
      </c>
      <c r="AC40" s="4" t="inlineStr">
        <is>
          <t>2026-07-05</t>
        </is>
      </c>
      <c r="AD40" s="4" t="inlineStr">
        <is>
          <t>com.logistics.rider.talabat</t>
        </is>
      </c>
    </row>
    <row r="41">
      <c r="T41" s="7" t="n"/>
      <c r="U41" s="7" t="n"/>
      <c r="V41" s="7" t="n"/>
      <c r="X41" s="7" t="n">
        <v>1</v>
      </c>
      <c r="Y41" s="7" t="inlineStr">
        <is>
          <t>2026-07-05</t>
        </is>
      </c>
      <c r="Z41" s="7" t="inlineStr">
        <is>
          <t>com.logistics.rider.woowabros</t>
        </is>
      </c>
      <c r="AB41" s="7" t="n">
        <v>50</v>
      </c>
      <c r="AC41" s="7" t="inlineStr">
        <is>
          <t>2026-07-05</t>
        </is>
      </c>
      <c r="AD41" s="7" t="inlineStr">
        <is>
          <t>com.logistics.rider.pedidosya</t>
        </is>
      </c>
    </row>
    <row r="42">
      <c r="T42" s="4" t="n"/>
      <c r="U42" s="4" t="n"/>
      <c r="V42" s="4" t="n"/>
      <c r="X42" s="4" t="n">
        <v>9</v>
      </c>
      <c r="Y42" s="4" t="inlineStr">
        <is>
          <t>2026-07-05</t>
        </is>
      </c>
      <c r="Z42" s="4" t="inlineStr">
        <is>
          <t>com.logistics.rider.efood</t>
        </is>
      </c>
      <c r="AB42" s="4" t="n">
        <v>36</v>
      </c>
      <c r="AC42" s="4" t="inlineStr">
        <is>
          <t>2026-07-05</t>
        </is>
      </c>
      <c r="AD42" s="4" t="inlineStr">
        <is>
          <t>com.logistics.rider.hungerstation</t>
        </is>
      </c>
    </row>
    <row r="43">
      <c r="T43" s="7" t="n"/>
      <c r="U43" s="7" t="n"/>
      <c r="V43" s="7" t="n"/>
      <c r="X43" s="7" t="n">
        <v>1</v>
      </c>
      <c r="Y43" s="7" t="inlineStr">
        <is>
          <t>2026-07-05</t>
        </is>
      </c>
      <c r="Z43" s="7" t="inlineStr">
        <is>
          <t>com.logistics.rider.foody</t>
        </is>
      </c>
      <c r="AB43" s="7" t="n">
        <v>155</v>
      </c>
      <c r="AC43" s="7" t="inlineStr">
        <is>
          <t>2026-07-05</t>
        </is>
      </c>
      <c r="AD43" s="7" t="inlineStr">
        <is>
          <t>com.logistics.rider.glovo</t>
        </is>
      </c>
    </row>
    <row r="44">
      <c r="T44" s="4" t="n"/>
      <c r="U44" s="4" t="n"/>
      <c r="V44" s="4" t="n"/>
      <c r="X44" s="4" t="n">
        <v>135</v>
      </c>
      <c r="Y44" s="4" t="inlineStr">
        <is>
          <t>2026-07-06</t>
        </is>
      </c>
      <c r="Z44" s="4" t="inlineStr">
        <is>
          <t>com.logistics.rider.foodpanda</t>
        </is>
      </c>
      <c r="AB44" s="4" t="n">
        <v>2</v>
      </c>
      <c r="AC44" s="4" t="inlineStr">
        <is>
          <t>2026-07-05</t>
        </is>
      </c>
      <c r="AD44" s="4" t="inlineStr">
        <is>
          <t>com.logistics.rider.woowabros</t>
        </is>
      </c>
    </row>
    <row r="45">
      <c r="T45" s="7" t="n"/>
      <c r="U45" s="7" t="n"/>
      <c r="V45" s="7" t="n"/>
      <c r="X45" s="7" t="n">
        <v>8</v>
      </c>
      <c r="Y45" s="7" t="inlineStr">
        <is>
          <t>2026-07-06</t>
        </is>
      </c>
      <c r="Z45" s="7" t="inlineStr">
        <is>
          <t>com.logistics.rider.foodora</t>
        </is>
      </c>
      <c r="AB45" s="7" t="n">
        <v>2</v>
      </c>
      <c r="AC45" s="7" t="inlineStr">
        <is>
          <t>2026-07-05</t>
        </is>
      </c>
      <c r="AD45" s="7" t="inlineStr">
        <is>
          <t>com.logistics.rider.efood</t>
        </is>
      </c>
    </row>
    <row r="46">
      <c r="T46" s="4" t="n"/>
      <c r="U46" s="4" t="n"/>
      <c r="V46" s="4" t="n"/>
      <c r="X46" s="4" t="n">
        <v>60</v>
      </c>
      <c r="Y46" s="4" t="inlineStr">
        <is>
          <t>2026-07-06</t>
        </is>
      </c>
      <c r="Z46" s="4" t="inlineStr">
        <is>
          <t>com.logistics.rider.talabat</t>
        </is>
      </c>
      <c r="AB46" s="4" t="n">
        <v>4</v>
      </c>
      <c r="AC46" s="4" t="inlineStr">
        <is>
          <t>2026-07-05</t>
        </is>
      </c>
      <c r="AD46" s="4" t="inlineStr">
        <is>
          <t>com.logistics.rider.foody</t>
        </is>
      </c>
    </row>
    <row r="47">
      <c r="T47" s="7" t="n"/>
      <c r="U47" s="7" t="n"/>
      <c r="V47" s="7" t="n"/>
      <c r="X47" s="7" t="n">
        <v>19</v>
      </c>
      <c r="Y47" s="7" t="inlineStr">
        <is>
          <t>2026-07-06</t>
        </is>
      </c>
      <c r="Z47" s="7" t="inlineStr">
        <is>
          <t>com.logistics.rider.pedidosya</t>
        </is>
      </c>
      <c r="AB47" s="7" t="n">
        <v>388</v>
      </c>
      <c r="AC47" s="7" t="inlineStr">
        <is>
          <t>2026-07-06</t>
        </is>
      </c>
      <c r="AD47" s="7" t="inlineStr">
        <is>
          <t>com.logistics.rider.foodpanda</t>
        </is>
      </c>
    </row>
    <row r="48">
      <c r="T48" s="4" t="n"/>
      <c r="U48" s="4" t="n"/>
      <c r="V48" s="4" t="n"/>
      <c r="X48" s="4" t="n">
        <v>20</v>
      </c>
      <c r="Y48" s="4" t="inlineStr">
        <is>
          <t>2026-07-06</t>
        </is>
      </c>
      <c r="Z48" s="4" t="inlineStr">
        <is>
          <t>com.logistics.rider.hungerstation</t>
        </is>
      </c>
      <c r="AB48" s="4" t="n">
        <v>27</v>
      </c>
      <c r="AC48" s="4" t="inlineStr">
        <is>
          <t>2026-07-06</t>
        </is>
      </c>
      <c r="AD48" s="4" t="inlineStr">
        <is>
          <t>com.logistics.rider.foodora</t>
        </is>
      </c>
    </row>
    <row r="49">
      <c r="T49" s="7" t="n"/>
      <c r="U49" s="7" t="n"/>
      <c r="V49" s="7" t="n"/>
      <c r="X49" s="7" t="n">
        <v>115</v>
      </c>
      <c r="Y49" s="7" t="inlineStr">
        <is>
          <t>2026-07-06</t>
        </is>
      </c>
      <c r="Z49" s="7" t="inlineStr">
        <is>
          <t>com.logistics.rider.glovo</t>
        </is>
      </c>
      <c r="AB49" s="7" t="n">
        <v>176</v>
      </c>
      <c r="AC49" s="7" t="inlineStr">
        <is>
          <t>2026-07-06</t>
        </is>
      </c>
      <c r="AD49" s="7" t="inlineStr">
        <is>
          <t>com.logistics.rider.talabat</t>
        </is>
      </c>
    </row>
    <row r="50">
      <c r="T50" s="4" t="n"/>
      <c r="U50" s="4" t="n"/>
      <c r="V50" s="4" t="n"/>
      <c r="X50" s="4" t="n">
        <v>3</v>
      </c>
      <c r="Y50" s="4" t="inlineStr">
        <is>
          <t>2026-07-06</t>
        </is>
      </c>
      <c r="Z50" s="4" t="inlineStr">
        <is>
          <t>com.logistics.rider.efood</t>
        </is>
      </c>
      <c r="AB50" s="4" t="n">
        <v>44</v>
      </c>
      <c r="AC50" s="4" t="inlineStr">
        <is>
          <t>2026-07-06</t>
        </is>
      </c>
      <c r="AD50" s="4" t="inlineStr">
        <is>
          <t>com.logistics.rider.pedidosya</t>
        </is>
      </c>
    </row>
    <row r="51">
      <c r="T51" s="7" t="n"/>
      <c r="U51" s="7" t="n"/>
      <c r="V51" s="7" t="n"/>
      <c r="X51" s="7" t="n">
        <v>127</v>
      </c>
      <c r="Y51" s="7" t="inlineStr">
        <is>
          <t>2026-07-07</t>
        </is>
      </c>
      <c r="Z51" s="7" t="inlineStr">
        <is>
          <t>com.logistics.rider.foodpanda</t>
        </is>
      </c>
      <c r="AB51" s="7" t="n">
        <v>37</v>
      </c>
      <c r="AC51" s="7" t="inlineStr">
        <is>
          <t>2026-07-06</t>
        </is>
      </c>
      <c r="AD51" s="7" t="inlineStr">
        <is>
          <t>com.logistics.rider.hungerstation</t>
        </is>
      </c>
    </row>
    <row r="52">
      <c r="T52" s="4" t="n"/>
      <c r="U52" s="4" t="n"/>
      <c r="V52" s="4" t="n"/>
      <c r="X52" s="4" t="n">
        <v>10</v>
      </c>
      <c r="Y52" s="4" t="inlineStr">
        <is>
          <t>2026-07-07</t>
        </is>
      </c>
      <c r="Z52" s="4" t="inlineStr">
        <is>
          <t>com.logistics.rider.foodora</t>
        </is>
      </c>
      <c r="AB52" s="4" t="n">
        <v>178</v>
      </c>
      <c r="AC52" s="4" t="inlineStr">
        <is>
          <t>2026-07-06</t>
        </is>
      </c>
      <c r="AD52" s="4" t="inlineStr">
        <is>
          <t>com.logistics.rider.glovo</t>
        </is>
      </c>
    </row>
    <row r="53">
      <c r="T53" s="7" t="n"/>
      <c r="U53" s="7" t="n"/>
      <c r="V53" s="7" t="n"/>
      <c r="X53" s="7" t="n">
        <v>70</v>
      </c>
      <c r="Y53" s="7" t="inlineStr">
        <is>
          <t>2026-07-07</t>
        </is>
      </c>
      <c r="Z53" s="7" t="inlineStr">
        <is>
          <t>com.logistics.rider.talabat</t>
        </is>
      </c>
      <c r="AB53" s="7" t="n">
        <v>1</v>
      </c>
      <c r="AC53" s="7" t="inlineStr">
        <is>
          <t>2026-07-06</t>
        </is>
      </c>
      <c r="AD53" s="7" t="inlineStr">
        <is>
          <t>com.logistics.rider.woowabros</t>
        </is>
      </c>
    </row>
    <row r="54">
      <c r="T54" s="4" t="n"/>
      <c r="U54" s="4" t="n"/>
      <c r="V54" s="4" t="n"/>
      <c r="X54" s="4" t="n">
        <v>20</v>
      </c>
      <c r="Y54" s="4" t="inlineStr">
        <is>
          <t>2026-07-07</t>
        </is>
      </c>
      <c r="Z54" s="4" t="inlineStr">
        <is>
          <t>com.logistics.rider.pedidosya</t>
        </is>
      </c>
      <c r="AB54" s="4" t="n">
        <v>4</v>
      </c>
      <c r="AC54" s="4" t="inlineStr">
        <is>
          <t>2026-07-06</t>
        </is>
      </c>
      <c r="AD54" s="4" t="inlineStr">
        <is>
          <t>com.logistics.rider.efood</t>
        </is>
      </c>
    </row>
    <row r="55">
      <c r="T55" s="7" t="n"/>
      <c r="U55" s="7" t="n"/>
      <c r="V55" s="7" t="n"/>
      <c r="X55" s="7" t="n">
        <v>17</v>
      </c>
      <c r="Y55" s="7" t="inlineStr">
        <is>
          <t>2026-07-07</t>
        </is>
      </c>
      <c r="Z55" s="7" t="inlineStr">
        <is>
          <t>com.logistics.rider.hungerstation</t>
        </is>
      </c>
      <c r="AB55" s="7" t="n">
        <v>3</v>
      </c>
      <c r="AC55" s="7" t="inlineStr">
        <is>
          <t>2026-07-06</t>
        </is>
      </c>
      <c r="AD55" s="7" t="inlineStr">
        <is>
          <t>com.logistics.rider.foody</t>
        </is>
      </c>
    </row>
    <row r="56">
      <c r="T56" s="4" t="n"/>
      <c r="U56" s="4" t="n"/>
      <c r="V56" s="4" t="n"/>
      <c r="X56" s="4" t="n">
        <v>85</v>
      </c>
      <c r="Y56" s="4" t="inlineStr">
        <is>
          <t>2026-07-07</t>
        </is>
      </c>
      <c r="Z56" s="4" t="inlineStr">
        <is>
          <t>com.logistics.rider.glovo</t>
        </is>
      </c>
      <c r="AB56" s="4" t="n">
        <v>379</v>
      </c>
      <c r="AC56" s="4" t="inlineStr">
        <is>
          <t>2026-07-07</t>
        </is>
      </c>
      <c r="AD56" s="4" t="inlineStr">
        <is>
          <t>com.logistics.rider.foodpanda</t>
        </is>
      </c>
    </row>
    <row r="57">
      <c r="T57" s="7" t="n"/>
      <c r="U57" s="7" t="n"/>
      <c r="V57" s="7" t="n"/>
      <c r="X57" s="7" t="n">
        <v>1</v>
      </c>
      <c r="Y57" s="7" t="inlineStr">
        <is>
          <t>2026-07-07</t>
        </is>
      </c>
      <c r="Z57" s="7" t="inlineStr">
        <is>
          <t>com.logistics.rider.woowabros</t>
        </is>
      </c>
      <c r="AB57" s="7" t="n">
        <v>28</v>
      </c>
      <c r="AC57" s="7" t="inlineStr">
        <is>
          <t>2026-07-07</t>
        </is>
      </c>
      <c r="AD57" s="7" t="inlineStr">
        <is>
          <t>com.logistics.rider.foodora</t>
        </is>
      </c>
    </row>
    <row r="58">
      <c r="T58" s="4" t="n"/>
      <c r="U58" s="4" t="n"/>
      <c r="V58" s="4" t="n"/>
      <c r="X58" s="4" t="n">
        <v>8</v>
      </c>
      <c r="Y58" s="4" t="inlineStr">
        <is>
          <t>2026-07-07</t>
        </is>
      </c>
      <c r="Z58" s="4" t="inlineStr">
        <is>
          <t>com.logistics.rider.efood</t>
        </is>
      </c>
      <c r="AB58" s="4" t="n">
        <v>176</v>
      </c>
      <c r="AC58" s="4" t="inlineStr">
        <is>
          <t>2026-07-07</t>
        </is>
      </c>
      <c r="AD58" s="4" t="inlineStr">
        <is>
          <t>com.logistics.rider.talabat</t>
        </is>
      </c>
    </row>
    <row r="59">
      <c r="T59" s="7" t="n"/>
      <c r="U59" s="7" t="n"/>
      <c r="V59" s="7" t="n"/>
      <c r="X59" s="7" t="n">
        <v>100</v>
      </c>
      <c r="Y59" s="7" t="inlineStr">
        <is>
          <t>2026-07-08</t>
        </is>
      </c>
      <c r="Z59" s="7" t="inlineStr">
        <is>
          <t>com.logistics.rider.foodpanda</t>
        </is>
      </c>
      <c r="AB59" s="7" t="n">
        <v>56</v>
      </c>
      <c r="AC59" s="7" t="inlineStr">
        <is>
          <t>2026-07-07</t>
        </is>
      </c>
      <c r="AD59" s="7" t="inlineStr">
        <is>
          <t>com.logistics.rider.pedidosya</t>
        </is>
      </c>
    </row>
    <row r="60">
      <c r="T60" s="4" t="n"/>
      <c r="U60" s="4" t="n"/>
      <c r="V60" s="4" t="n"/>
      <c r="X60" s="4" t="n">
        <v>12</v>
      </c>
      <c r="Y60" s="4" t="inlineStr">
        <is>
          <t>2026-07-08</t>
        </is>
      </c>
      <c r="Z60" s="4" t="inlineStr">
        <is>
          <t>com.logistics.rider.foodora</t>
        </is>
      </c>
      <c r="AB60" s="4" t="n">
        <v>41</v>
      </c>
      <c r="AC60" s="4" t="inlineStr">
        <is>
          <t>2026-07-07</t>
        </is>
      </c>
      <c r="AD60" s="4" t="inlineStr">
        <is>
          <t>com.logistics.rider.hungerstation</t>
        </is>
      </c>
    </row>
    <row r="61">
      <c r="T61" s="7" t="n"/>
      <c r="U61" s="7" t="n"/>
      <c r="V61" s="7" t="n"/>
      <c r="X61" s="7" t="n">
        <v>58</v>
      </c>
      <c r="Y61" s="7" t="inlineStr">
        <is>
          <t>2026-07-08</t>
        </is>
      </c>
      <c r="Z61" s="7" t="inlineStr">
        <is>
          <t>com.logistics.rider.talabat</t>
        </is>
      </c>
      <c r="AB61" s="7" t="n">
        <v>152</v>
      </c>
      <c r="AC61" s="7" t="inlineStr">
        <is>
          <t>2026-07-07</t>
        </is>
      </c>
      <c r="AD61" s="7" t="inlineStr">
        <is>
          <t>com.logistics.rider.glovo</t>
        </is>
      </c>
    </row>
    <row r="62">
      <c r="T62" s="4" t="n"/>
      <c r="U62" s="4" t="n"/>
      <c r="V62" s="4" t="n"/>
      <c r="X62" s="4" t="n">
        <v>48</v>
      </c>
      <c r="Y62" s="4" t="inlineStr">
        <is>
          <t>2026-07-08</t>
        </is>
      </c>
      <c r="Z62" s="4" t="inlineStr">
        <is>
          <t>com.logistics.rider.pedidosya</t>
        </is>
      </c>
      <c r="AB62" s="4" t="n">
        <v>3</v>
      </c>
      <c r="AC62" s="4" t="inlineStr">
        <is>
          <t>2026-07-07</t>
        </is>
      </c>
      <c r="AD62" s="4" t="inlineStr">
        <is>
          <t>com.logistics.rider.woowabros</t>
        </is>
      </c>
    </row>
    <row r="63">
      <c r="T63" s="7" t="n"/>
      <c r="U63" s="7" t="n"/>
      <c r="V63" s="7" t="n"/>
      <c r="X63" s="7" t="n">
        <v>12</v>
      </c>
      <c r="Y63" s="7" t="inlineStr">
        <is>
          <t>2026-07-08</t>
        </is>
      </c>
      <c r="Z63" s="7" t="inlineStr">
        <is>
          <t>com.logistics.rider.hungerstation</t>
        </is>
      </c>
      <c r="AB63" s="7" t="n">
        <v>7</v>
      </c>
      <c r="AC63" s="7" t="inlineStr">
        <is>
          <t>2026-07-07</t>
        </is>
      </c>
      <c r="AD63" s="7" t="inlineStr">
        <is>
          <t>com.logistics.rider.efood</t>
        </is>
      </c>
    </row>
    <row r="64">
      <c r="T64" s="4" t="n"/>
      <c r="U64" s="4" t="n"/>
      <c r="V64" s="4" t="n"/>
      <c r="X64" s="4" t="n">
        <v>92</v>
      </c>
      <c r="Y64" s="4" t="inlineStr">
        <is>
          <t>2026-07-08</t>
        </is>
      </c>
      <c r="Z64" s="4" t="inlineStr">
        <is>
          <t>com.logistics.rider.glovo</t>
        </is>
      </c>
      <c r="AB64" s="4" t="n">
        <v>3</v>
      </c>
      <c r="AC64" s="4" t="inlineStr">
        <is>
          <t>2026-07-07</t>
        </is>
      </c>
      <c r="AD64" s="4" t="inlineStr">
        <is>
          <t>com.logistics.rider.foody</t>
        </is>
      </c>
    </row>
    <row r="65">
      <c r="T65" s="7" t="n"/>
      <c r="U65" s="7" t="n"/>
      <c r="V65" s="7" t="n"/>
      <c r="X65" s="7" t="n">
        <v>1</v>
      </c>
      <c r="Y65" s="7" t="inlineStr">
        <is>
          <t>2026-07-08</t>
        </is>
      </c>
      <c r="Z65" s="7" t="inlineStr">
        <is>
          <t>com.logistics.rider.woowabros</t>
        </is>
      </c>
      <c r="AB65" s="7" t="n">
        <v>362</v>
      </c>
      <c r="AC65" s="7" t="inlineStr">
        <is>
          <t>2026-07-08</t>
        </is>
      </c>
      <c r="AD65" s="7" t="inlineStr">
        <is>
          <t>com.logistics.rider.foodpanda</t>
        </is>
      </c>
    </row>
    <row r="66">
      <c r="T66" s="4" t="n"/>
      <c r="U66" s="4" t="n"/>
      <c r="V66" s="4" t="n"/>
      <c r="X66" s="4" t="n">
        <v>14</v>
      </c>
      <c r="Y66" s="4" t="inlineStr">
        <is>
          <t>2026-07-08</t>
        </is>
      </c>
      <c r="Z66" s="4" t="inlineStr">
        <is>
          <t>com.logistics.rider.efood</t>
        </is>
      </c>
      <c r="AB66" s="4" t="n">
        <v>33</v>
      </c>
      <c r="AC66" s="4" t="inlineStr">
        <is>
          <t>2026-07-08</t>
        </is>
      </c>
      <c r="AD66" s="4" t="inlineStr">
        <is>
          <t>com.logistics.rider.foodora</t>
        </is>
      </c>
    </row>
    <row r="67">
      <c r="T67" s="7" t="n"/>
      <c r="U67" s="7" t="n"/>
      <c r="V67" s="7" t="n"/>
      <c r="X67" s="7" t="n">
        <v>1</v>
      </c>
      <c r="Y67" s="7" t="inlineStr">
        <is>
          <t>2026-07-08</t>
        </is>
      </c>
      <c r="Z67" s="7" t="inlineStr">
        <is>
          <t>com.logistics.rider.foody</t>
        </is>
      </c>
      <c r="AB67" s="7" t="n">
        <v>188</v>
      </c>
      <c r="AC67" s="7" t="inlineStr">
        <is>
          <t>2026-07-08</t>
        </is>
      </c>
      <c r="AD67" s="7" t="inlineStr">
        <is>
          <t>com.logistics.rider.talabat</t>
        </is>
      </c>
    </row>
    <row r="68">
      <c r="T68" s="4" t="n"/>
      <c r="U68" s="4" t="n"/>
      <c r="V68" s="4" t="n"/>
      <c r="X68" s="4" t="n"/>
      <c r="Y68" s="4" t="n"/>
      <c r="Z68" s="4" t="n"/>
      <c r="AB68" s="4" t="n">
        <v>50</v>
      </c>
      <c r="AC68" s="4" t="inlineStr">
        <is>
          <t>2026-07-08</t>
        </is>
      </c>
      <c r="AD68" s="4" t="inlineStr">
        <is>
          <t>com.logistics.rider.pedidosya</t>
        </is>
      </c>
    </row>
    <row r="69">
      <c r="T69" s="7" t="n"/>
      <c r="U69" s="7" t="n"/>
      <c r="V69" s="7" t="n"/>
      <c r="X69" s="7" t="n"/>
      <c r="Y69" s="7" t="n"/>
      <c r="Z69" s="7" t="n"/>
      <c r="AB69" s="7" t="n">
        <v>47</v>
      </c>
      <c r="AC69" s="7" t="inlineStr">
        <is>
          <t>2026-07-08</t>
        </is>
      </c>
      <c r="AD69" s="7" t="inlineStr">
        <is>
          <t>com.logistics.rider.hungerstation</t>
        </is>
      </c>
    </row>
    <row r="70">
      <c r="T70" s="4" t="n"/>
      <c r="U70" s="4" t="n"/>
      <c r="V70" s="4" t="n"/>
      <c r="X70" s="4" t="n"/>
      <c r="Y70" s="4" t="n"/>
      <c r="Z70" s="4" t="n"/>
      <c r="AB70" s="4" t="n">
        <v>170</v>
      </c>
      <c r="AC70" s="4" t="inlineStr">
        <is>
          <t>2026-07-08</t>
        </is>
      </c>
      <c r="AD70" s="4" t="inlineStr">
        <is>
          <t>com.logistics.rider.glovo</t>
        </is>
      </c>
    </row>
    <row r="71">
      <c r="T71" s="7" t="n"/>
      <c r="U71" s="7" t="n"/>
      <c r="V71" s="7" t="n"/>
      <c r="X71" s="7" t="n"/>
      <c r="Y71" s="7" t="n"/>
      <c r="Z71" s="7" t="n"/>
      <c r="AB71" s="7" t="n">
        <v>1</v>
      </c>
      <c r="AC71" s="7" t="inlineStr">
        <is>
          <t>2026-07-08</t>
        </is>
      </c>
      <c r="AD71" s="7" t="inlineStr">
        <is>
          <t>com.logistics.rider.woowabros</t>
        </is>
      </c>
    </row>
    <row r="72">
      <c r="T72" s="4" t="n"/>
      <c r="U72" s="4" t="n"/>
      <c r="V72" s="4" t="n"/>
      <c r="X72" s="4" t="n"/>
      <c r="Y72" s="4" t="n"/>
      <c r="Z72" s="4" t="n"/>
      <c r="AB72" s="4" t="n">
        <v>7</v>
      </c>
      <c r="AC72" s="4" t="inlineStr">
        <is>
          <t>2026-07-08</t>
        </is>
      </c>
      <c r="AD72" s="4" t="inlineStr">
        <is>
          <t>com.logistics.rider.efood</t>
        </is>
      </c>
    </row>
    <row r="73">
      <c r="T73" s="7" t="n"/>
      <c r="U73" s="7" t="n"/>
      <c r="V73" s="7" t="n"/>
      <c r="X73" s="7" t="n"/>
      <c r="Y73" s="7" t="n"/>
      <c r="Z73" s="7" t="n"/>
      <c r="AB73" s="7" t="n">
        <v>2</v>
      </c>
      <c r="AC73" s="7" t="inlineStr">
        <is>
          <t>2026-07-08</t>
        </is>
      </c>
      <c r="AD73" s="7" t="inlineStr">
        <is>
          <t>com.logistics.rider.foody</t>
        </is>
      </c>
    </row>
  </sheetData>
  <dataValidations count="1">
    <dataValidation sqref="B10" showDropDown="0" showInputMessage="0" showErrorMessage="0" allowBlank="0" type="list">
      <formula1>"foodora,woowa,foodpanda,talabat,efood,glovo,hungerstation,yemek,foody,pedidosya"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2026-07-09T16:46:12Z</dcterms:created>
  <dcterms:modified xsi:type="dcterms:W3CDTF">2026-07-09T16:46:12Z</dcterms:modified>
</cp:coreProperties>
</file>