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TRUNC((1-SUMIFS(Dashboard!$X:$X,Dashboard!$Z:$Z,"*"&amp;$A2&amp;"*")/IF(SUMIFS(Dashboard!$V:$V,Dashboard!$U:$U,"*"&amp;$A2&amp;"*")&gt;0,SUMIFS(Dashboard!$V:$V,Dashboard!$U:$U,"*"&amp;$A2&amp;"*"),M2))*100,2)</f>
        <v/>
      </c>
      <c r="C2" s="4">
        <f>TRUNC((1-SUMIFS(Dashboard!$AB:$AB,Dashboard!$AD:$AD,"*"&amp;$A2&amp;"*")/IF(SUMIFS(Dashboard!$V:$V,Dashboard!$U:$U,"*"&amp;$A2&amp;"*")&gt;0,SUMIFS(Dashboard!$V:$V,Dashboard!$U:$U,"*"&amp;$A2&amp;"*"),M2))*100,2)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TRUNC((1-SUMIFS(Dashboard!$X:$X,Dashboard!$Z:$Z,"*"&amp;$A3&amp;"*")/IF(SUMIFS(Dashboard!$V:$V,Dashboard!$U:$U,"*"&amp;$A3&amp;"*")&gt;0,SUMIFS(Dashboard!$V:$V,Dashboard!$U:$U,"*"&amp;$A3&amp;"*"),M3))*100,2)</f>
        <v/>
      </c>
      <c r="C3" s="7">
        <f>TRUNC((1-SUMIFS(Dashboard!$AB:$AB,Dashboard!$AD:$AD,"*"&amp;$A3&amp;"*")/IF(SUMIFS(Dashboard!$V:$V,Dashboard!$U:$U,"*"&amp;$A3&amp;"*")&gt;0,SUMIFS(Dashboard!$V:$V,Dashboard!$U:$U,"*"&amp;$A3&amp;"*"),M3))*100,2)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TRUNC((1-SUMIFS(Dashboard!$X:$X,Dashboard!$Z:$Z,"*"&amp;$A4&amp;"*")/IF(SUMIFS(Dashboard!$V:$V,Dashboard!$U:$U,"*"&amp;$A4&amp;"*")&gt;0,SUMIFS(Dashboard!$V:$V,Dashboard!$U:$U,"*"&amp;$A4&amp;"*"),M4))*100,2)</f>
        <v/>
      </c>
      <c r="C4" s="4">
        <f>TRUNC((1-SUMIFS(Dashboard!$AB:$AB,Dashboard!$AD:$AD,"*"&amp;$A4&amp;"*")/IF(SUMIFS(Dashboard!$V:$V,Dashboard!$U:$U,"*"&amp;$A4&amp;"*")&gt;0,SUMIFS(Dashboard!$V:$V,Dashboard!$U:$U,"*"&amp;$A4&amp;"*"),M4))*100,2)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TRUNC((1-SUMIFS(Dashboard!$X:$X,Dashboard!$Z:$Z,"*"&amp;$A5&amp;"*")/IF(SUMIFS(Dashboard!$V:$V,Dashboard!$U:$U,"*"&amp;$A5&amp;"*")&gt;0,SUMIFS(Dashboard!$V:$V,Dashboard!$U:$U,"*"&amp;$A5&amp;"*"),M5))*100,2)</f>
        <v/>
      </c>
      <c r="C5" s="7">
        <f>TRUNC((1-SUMIFS(Dashboard!$AB:$AB,Dashboard!$AD:$AD,"*"&amp;$A5&amp;"*")/IF(SUMIFS(Dashboard!$V:$V,Dashboard!$U:$U,"*"&amp;$A5&amp;"*")&gt;0,SUMIFS(Dashboard!$V:$V,Dashboard!$U:$U,"*"&amp;$A5&amp;"*"),M5))*100,2)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TRUNC((1-SUMIFS(Dashboard!$X:$X,Dashboard!$Z:$Z,"*"&amp;$A6&amp;"*")/IF(SUMIFS(Dashboard!$V:$V,Dashboard!$U:$U,"*"&amp;$A6&amp;"*")&gt;0,SUMIFS(Dashboard!$V:$V,Dashboard!$U:$U,"*"&amp;$A6&amp;"*"),M6))*100,2)</f>
        <v/>
      </c>
      <c r="C6" s="4">
        <f>TRUNC((1-SUMIFS(Dashboard!$AB:$AB,Dashboard!$AD:$AD,"*"&amp;$A6&amp;"*")/IF(SUMIFS(Dashboard!$V:$V,Dashboard!$U:$U,"*"&amp;$A6&amp;"*")&gt;0,SUMIFS(Dashboard!$V:$V,Dashboard!$U:$U,"*"&amp;$A6&amp;"*"),M6))*100,2)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TRUNC((1-SUMIFS(Dashboard!$X:$X,Dashboard!$Z:$Z,"*"&amp;$A7&amp;"*")/IF(SUMIFS(Dashboard!$V:$V,Dashboard!$U:$U,"*"&amp;$A7&amp;"*")&gt;0,SUMIFS(Dashboard!$V:$V,Dashboard!$U:$U,"*"&amp;$A7&amp;"*"),M7))*100,2)</f>
        <v/>
      </c>
      <c r="C7" s="7">
        <f>TRUNC((1-SUMIFS(Dashboard!$AB:$AB,Dashboard!$AD:$AD,"*"&amp;$A7&amp;"*")/IF(SUMIFS(Dashboard!$V:$V,Dashboard!$U:$U,"*"&amp;$A7&amp;"*")&gt;0,SUMIFS(Dashboard!$V:$V,Dashboard!$U:$U,"*"&amp;$A7&amp;"*"),M7))*100,2)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TRUNC((1-SUMIFS(Dashboard!$X:$X,Dashboard!$Z:$Z,"*"&amp;$A8&amp;"*")/IF(SUMIFS(Dashboard!$V:$V,Dashboard!$U:$U,"*"&amp;$A8&amp;"*")&gt;0,SUMIFS(Dashboard!$V:$V,Dashboard!$U:$U,"*"&amp;$A8&amp;"*"),M8))*100,2)</f>
        <v/>
      </c>
      <c r="C8" s="4">
        <f>TRUNC((1-SUMIFS(Dashboard!$AB:$AB,Dashboard!$AD:$AD,"*"&amp;$A8&amp;"*")/IF(SUMIFS(Dashboard!$V:$V,Dashboard!$U:$U,"*"&amp;$A8&amp;"*")&gt;0,SUMIFS(Dashboard!$V:$V,Dashboard!$U:$U,"*"&amp;$A8&amp;"*"),M8))*100,2)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TRUNC((1-SUMIFS(Dashboard!$X:$X,Dashboard!$Z:$Z,"*"&amp;$A9&amp;"*")/IF(SUMIFS(Dashboard!$V:$V,Dashboard!$U:$U,"*"&amp;$A9&amp;"*")&gt;0,SUMIFS(Dashboard!$V:$V,Dashboard!$U:$U,"*"&amp;$A9&amp;"*"),M9))*100,2)</f>
        <v/>
      </c>
      <c r="C9" s="7">
        <f>TRUNC((1-SUMIFS(Dashboard!$AB:$AB,Dashboard!$AD:$AD,"*"&amp;$A9&amp;"*")/IF(SUMIFS(Dashboard!$V:$V,Dashboard!$U:$U,"*"&amp;$A9&amp;"*")&gt;0,SUMIFS(Dashboard!$V:$V,Dashboard!$U:$U,"*"&amp;$A9&amp;"*"),M9))*100,2)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TRUNC((1-SUMIFS(Dashboard!$X:$X,Dashboard!$Z:$Z,"*"&amp;$A10&amp;"*")/IF(SUMIFS(Dashboard!$V:$V,Dashboard!$U:$U,"*"&amp;$A10&amp;"*")&gt;0,SUMIFS(Dashboard!$V:$V,Dashboard!$U:$U,"*"&amp;$A10&amp;"*"),M10))*100,2)</f>
        <v/>
      </c>
      <c r="C10" s="4">
        <f>TRUNC((1-SUMIFS(Dashboard!$AB:$AB,Dashboard!$AD:$AD,"*"&amp;$A10&amp;"*")/IF(SUMIFS(Dashboard!$V:$V,Dashboard!$U:$U,"*"&amp;$A10&amp;"*")&gt;0,SUMIFS(Dashboard!$V:$V,Dashboard!$U:$U,"*"&amp;$A10&amp;"*"),M10))*100,2)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TRUNC((1-SUMIFS(Dashboard!$X:$X,Dashboard!$Z:$Z,"*"&amp;$A11&amp;"*")/IF(SUMIFS(Dashboard!$V:$V,Dashboard!$U:$U,"*"&amp;$A11&amp;"*")&gt;0,SUMIFS(Dashboard!$V:$V,Dashboard!$U:$U,"*"&amp;$A11&amp;"*"),M11))*100,2)</f>
        <v/>
      </c>
      <c r="C11" s="7">
        <f>TRUNC((1-SUMIFS(Dashboard!$AB:$AB,Dashboard!$AD:$AD,"*"&amp;$A11&amp;"*")/IF(SUMIFS(Dashboard!$V:$V,Dashboard!$U:$U,"*"&amp;$A11&amp;"*")&gt;0,SUMIFS(Dashboard!$V:$V,Dashboard!$U:$U,"*"&amp;$A11&amp;"*"),M11))*100,2)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ROUND((1-E2/IF(D2&gt;0,D2,SUMIFS(Consolidation!$M:$M,Consolidation!$A:$A,"*"&amp;$B$10&amp;"*")/30))*100,2)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ROUND(100*(1-K2/IF(D2&gt;0,D2,SUMIFS(Consolidation!$M:$M,Consolidation!$A:$A,"*"&amp;$B$10&amp;"*")/30)),2)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ROUND((1-E3/IF(D3&gt;0,D3,SUMIFS(Consolidation!$M:$M,Consolidation!$A:$A,"*"&amp;$B$10&amp;"*")/30))*100,2)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ROUND(100*(1-K3/IF(D3&gt;0,D3,SUMIFS(Consolidation!$M:$M,Consolidation!$A:$A,"*"&amp;$B$10&amp;"*")/30)),2)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ROUND((1-E4/IF(D4&gt;0,D4,SUMIFS(Consolidation!$M:$M,Consolidation!$A:$A,"*"&amp;$B$10&amp;"*")/30))*100,2)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ROUND(100*(1-K4/IF(D4&gt;0,D4,SUMIFS(Consolidation!$M:$M,Consolidation!$A:$A,"*"&amp;$B$10&amp;"*")/30)),2)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ROUND((1-E5/IF(D5&gt;0,D5,SUMIFS(Consolidation!$M:$M,Consolidation!$A:$A,"*"&amp;$B$10&amp;"*")/30))*100,2)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ROUND(100*(1-K5/IF(D5&gt;0,D5,SUMIFS(Consolidation!$M:$M,Consolidation!$A:$A,"*"&amp;$B$10&amp;"*")/30)),2)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ROUND((1-E6/IF(D6&gt;0,D6,SUMIFS(Consolidation!$M:$M,Consolidation!$A:$A,"*"&amp;$B$10&amp;"*")/30))*100,2)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ROUND(100*(1-K6/IF(D6&gt;0,D6,SUMIFS(Consolidation!$M:$M,Consolidation!$A:$A,"*"&amp;$B$10&amp;"*")/30)),2)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ROUND((1-E7/IF(D7&gt;0,D7,SUMIFS(Consolidation!$M:$M,Consolidation!$A:$A,"*"&amp;$B$10&amp;"*")/30))*100,2)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ROUND(100*(1-K7/IF(D7&gt;0,D7,SUMIFS(Consolidation!$M:$M,Consolidation!$A:$A,"*"&amp;$B$10&amp;"*")/30)),2)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ROUND((1-E8/IF(D8&gt;0,D8,SUMIFS(Consolidation!$M:$M,Consolidation!$A:$A,"*"&amp;$B$10&amp;"*")/30))*100,2)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ROUND(100*(1-K8/IF(D8&gt;0,D8,SUMIFS(Consolidation!$M:$M,Consolidation!$A:$A,"*"&amp;$B$10&amp;"*")/30)),2)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ROUND((1-E9/IF(D9&gt;0,D9,SUMIFS(Consolidation!$M:$M,Consolidation!$A:$A,"*"&amp;$B$10&amp;"*")/30))*100,2)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ROUND(100*(1-K9/IF(D9&gt;0,D9,SUMIFS(Consolidation!$M:$M,Consolidation!$A:$A,"*"&amp;$B$10&amp;"*")/30)),2)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ROUND((1-E10/IF(D10&gt;0,D10,SUMIFS(Consolidation!$M:$M,Consolidation!$A:$A,"*"&amp;$B$10&amp;"*")/30))*100,2)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ROUND(100*(1-K10/IF(D10&gt;0,D10,SUMIFS(Consolidation!$M:$M,Consolidation!$A:$A,"*"&amp;$B$10&amp;"*")/30)),2)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ROUND((1-E11/IF(D11&gt;0,D11,SUMIFS(Consolidation!$M:$M,Consolidation!$A:$A,"*"&amp;$B$10&amp;"*")/30))*100,2)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ROUND(100*(1-K11/IF(D11&gt;0,D11,SUMIFS(Consolidation!$M:$M,Consolidation!$A:$A,"*"&amp;$B$10&amp;"*")/30)),2)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ROUND((1-E12/IF(D12&gt;0,D12,SUMIFS(Consolidation!$M:$M,Consolidation!$A:$A,"*"&amp;$B$10&amp;"*")/30))*100,2)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ROUND(100*(1-K12/IF(D12&gt;0,D12,SUMIFS(Consolidation!$M:$M,Consolidation!$A:$A,"*"&amp;$B$10&amp;"*")/30)),2)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ROUND((1-E13/IF(D13&gt;0,D13,SUMIFS(Consolidation!$M:$M,Consolidation!$A:$A,"*"&amp;$B$10&amp;"*")/30))*100,2)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ROUND(100*(1-K13/IF(D13&gt;0,D13,SUMIFS(Consolidation!$M:$M,Consolidation!$A:$A,"*"&amp;$B$10&amp;"*")/30)),2)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ROUND((1-E14/IF(D14&gt;0,D14,SUMIFS(Consolidation!$M:$M,Consolidation!$A:$A,"*"&amp;$B$10&amp;"*")/30))*100,2)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ROUND(100*(1-K14/IF(D14&gt;0,D14,SUMIFS(Consolidation!$M:$M,Consolidation!$A:$A,"*"&amp;$B$10&amp;"*")/30)),2)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ROUND((1-E15/IF(D15&gt;0,D15,SUMIFS(Consolidation!$M:$M,Consolidation!$A:$A,"*"&amp;$B$10&amp;"*")/30))*100,2)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ROUND(100*(1-K15/IF(D15&gt;0,D15,SUMIFS(Consolidation!$M:$M,Consolidation!$A:$A,"*"&amp;$B$10&amp;"*")/30)),2)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ROUND((1-E16/IF(D16&gt;0,D16,SUMIFS(Consolidation!$M:$M,Consolidation!$A:$A,"*"&amp;$B$10&amp;"*")/30))*100,2)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ROUND(100*(1-K16/IF(D16&gt;0,D16,SUMIFS(Consolidation!$M:$M,Consolidation!$A:$A,"*"&amp;$B$10&amp;"*")/30)),2)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ROUND((1-E17/IF(D17&gt;0,D17,SUMIFS(Consolidation!$M:$M,Consolidation!$A:$A,"*"&amp;$B$10&amp;"*")/30))*100,2)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ROUND(100*(1-K17/IF(D17&gt;0,D17,SUMIFS(Consolidation!$M:$M,Consolidation!$A:$A,"*"&amp;$B$10&amp;"*")/30)),2)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ROUND((1-E18/IF(D18&gt;0,D18,SUMIFS(Consolidation!$M:$M,Consolidation!$A:$A,"*"&amp;$B$10&amp;"*")/30))*100,2)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ROUND(100*(1-K18/IF(D18&gt;0,D18,SUMIFS(Consolidation!$M:$M,Consolidation!$A:$A,"*"&amp;$B$10&amp;"*")/30)),2)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ROUND((1-E19/IF(D19&gt;0,D19,SUMIFS(Consolidation!$M:$M,Consolidation!$A:$A,"*"&amp;$B$10&amp;"*")/30))*100,2)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ROUND(100*(1-K19/IF(D19&gt;0,D19,SUMIFS(Consolidation!$M:$M,Consolidation!$A:$A,"*"&amp;$B$10&amp;"*")/30)),2)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ROUND((1-E20/IF(D20&gt;0,D20,SUMIFS(Consolidation!$M:$M,Consolidation!$A:$A,"*"&amp;$B$10&amp;"*")/30))*100,2)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ROUND(100*(1-K20/IF(D20&gt;0,D20,SUMIFS(Consolidation!$M:$M,Consolidation!$A:$A,"*"&amp;$B$10&amp;"*")/30)),2)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ROUND((1-E21/IF(D21&gt;0,D21,SUMIFS(Consolidation!$M:$M,Consolidation!$A:$A,"*"&amp;$B$10&amp;"*")/30))*100,2)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ROUND(100*(1-K21/IF(D21&gt;0,D21,SUMIFS(Consolidation!$M:$M,Consolidation!$A:$A,"*"&amp;$B$10&amp;"*")/30)),2)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ROUND((1-E22/IF(D22&gt;0,D22,SUMIFS(Consolidation!$M:$M,Consolidation!$A:$A,"*"&amp;$B$10&amp;"*")/30))*100,2)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ROUND(100*(1-K22/IF(D22&gt;0,D22,SUMIFS(Consolidation!$M:$M,Consolidation!$A:$A,"*"&amp;$B$10&amp;"*")/30)),2)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ROUND((1-E23/IF(D23&gt;0,D23,SUMIFS(Consolidation!$M:$M,Consolidation!$A:$A,"*"&amp;$B$10&amp;"*")/30))*100,2)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ROUND(100*(1-K23/IF(D23&gt;0,D23,SUMIFS(Consolidation!$M:$M,Consolidation!$A:$A,"*"&amp;$B$10&amp;"*")/30)),2)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ROUND((1-E24/IF(D24&gt;0,D24,SUMIFS(Consolidation!$M:$M,Consolidation!$A:$A,"*"&amp;$B$10&amp;"*")/30))*100,2)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ROUND(100*(1-K24/IF(D24&gt;0,D24,SUMIFS(Consolidation!$M:$M,Consolidation!$A:$A,"*"&amp;$B$10&amp;"*")/30)),2)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ROUND((1-E25/IF(D25&gt;0,D25,SUMIFS(Consolidation!$M:$M,Consolidation!$A:$A,"*"&amp;$B$10&amp;"*")/30))*100,2)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ROUND(100*(1-K25/IF(D25&gt;0,D25,SUMIFS(Consolidation!$M:$M,Consolidation!$A:$A,"*"&amp;$B$10&amp;"*")/30)),2)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ROUND((1-E26/IF(D26&gt;0,D26,SUMIFS(Consolidation!$M:$M,Consolidation!$A:$A,"*"&amp;$B$10&amp;"*")/30))*100,2)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ROUND(100*(1-K26/IF(D26&gt;0,D26,SUMIFS(Consolidation!$M:$M,Consolidation!$A:$A,"*"&amp;$B$10&amp;"*")/30)),2)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ROUND((1-E27/IF(D27&gt;0,D27,SUMIFS(Consolidation!$M:$M,Consolidation!$A:$A,"*"&amp;$B$10&amp;"*")/30))*100,2)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ROUND(100*(1-K27/IF(D27&gt;0,D27,SUMIFS(Consolidation!$M:$M,Consolidation!$A:$A,"*"&amp;$B$10&amp;"*")/30)),2)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ROUND((1-E28/IF(D28&gt;0,D28,SUMIFS(Consolidation!$M:$M,Consolidation!$A:$A,"*"&amp;$B$10&amp;"*")/30))*100,2)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ROUND(100*(1-K28/IF(D28&gt;0,D28,SUMIFS(Consolidation!$M:$M,Consolidation!$A:$A,"*"&amp;$B$10&amp;"*")/30)),2)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ROUND((1-E29/IF(D29&gt;0,D29,SUMIFS(Consolidation!$M:$M,Consolidation!$A:$A,"*"&amp;$B$10&amp;"*")/30))*100,2)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ROUND(100*(1-K29/IF(D29&gt;0,D29,SUMIFS(Consolidation!$M:$M,Consolidation!$A:$A,"*"&amp;$B$10&amp;"*")/30)),2)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AVERAGE(D2:D29)</f>
        <v/>
      </c>
      <c r="E33" s="27" t="n"/>
      <c r="F33" s="27" t="n"/>
      <c r="G33" s="28">
        <f>TRUNC((1-SUMIFS(X:X,Z:Z,"*"&amp;$B$10&amp;"*")/IF(SUMIFS(V:V,U:U,"*"&amp;$B$10&amp;"*")&gt;0,SUMIFS(V:V,U:U,"*"&amp;$B$10&amp;"*"),SUMIFS(Consolidation!$M:$M,Consolidation!$A:$A,"*"&amp;$B$10&amp;"*")))*100,2)</f>
        <v/>
      </c>
      <c r="H33" s="29">
        <f>AVERAGE(H2:H29)</f>
        <v/>
      </c>
      <c r="I33" s="29">
        <f>$B$2+H33</f>
        <v/>
      </c>
      <c r="J33" s="27" t="n"/>
      <c r="K33" s="27" t="n"/>
      <c r="L33" s="28">
        <f>TRUNC((1-SUMIFS(AB:AB,AD:AD,"*"&amp;$B$10&amp;"*")/IF(SUMIFS(V:V,U:U,"*"&amp;$B$10&amp;"*")&gt;0,SUMIFS(V:V,U:U,"*"&amp;$B$10&amp;"*"),SUMIFS(Consolidation!$M:$M,Consolidation!$A:$A,"*"&amp;$B$10&amp;"*")))*100,2)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n"/>
      <c r="U173" s="7" t="n"/>
      <c r="V173" s="7" t="n"/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n"/>
      <c r="U174" s="4" t="n"/>
      <c r="V174" s="4" t="n"/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n"/>
      <c r="U175" s="7" t="n"/>
      <c r="V175" s="7" t="n"/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n"/>
      <c r="U177" s="7" t="n"/>
      <c r="V177" s="7" t="n"/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n"/>
      <c r="U184" s="4" t="n"/>
      <c r="V184" s="4" t="n"/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n"/>
      <c r="U185" s="7" t="n"/>
      <c r="V185" s="7" t="n"/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n"/>
      <c r="U186" s="4" t="n"/>
      <c r="V186" s="4" t="n"/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n"/>
      <c r="U188" s="4" t="n"/>
      <c r="V188" s="4" t="n"/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n"/>
      <c r="U189" s="7" t="n"/>
      <c r="V189" s="7" t="n"/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n"/>
      <c r="U190" s="4" t="n"/>
      <c r="V190" s="4" t="n"/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n"/>
      <c r="U194" s="4" t="n"/>
      <c r="V194" s="4" t="n"/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n"/>
      <c r="U196" s="4" t="n"/>
      <c r="V196" s="4" t="n"/>
      <c r="X196" s="4" t="n">
        <v>111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>
        <v>111</v>
      </c>
      <c r="Y205" s="7" t="inlineStr">
        <is>
          <t>2026-06-26</t>
        </is>
      </c>
      <c r="Z205" s="7" t="inlineStr">
        <is>
          <t>com.logistics.rider.foodpanda</t>
        </is>
      </c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>
        <v>24</v>
      </c>
      <c r="Y206" s="4" t="inlineStr">
        <is>
          <t>2026-06-26</t>
        </is>
      </c>
      <c r="Z206" s="4" t="inlineStr">
        <is>
          <t>com.logistics.rider.foodora</t>
        </is>
      </c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64</v>
      </c>
      <c r="Y207" s="7" t="inlineStr">
        <is>
          <t>2026-06-26</t>
        </is>
      </c>
      <c r="Z207" s="7" t="inlineStr">
        <is>
          <t>com.logistics.rider.talabat</t>
        </is>
      </c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>
        <v>30</v>
      </c>
      <c r="Y208" s="4" t="inlineStr">
        <is>
          <t>2026-06-26</t>
        </is>
      </c>
      <c r="Z208" s="4" t="inlineStr">
        <is>
          <t>com.logistics.rider.pedidosya</t>
        </is>
      </c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>
        <v>14</v>
      </c>
      <c r="Y209" s="7" t="inlineStr">
        <is>
          <t>2026-06-26</t>
        </is>
      </c>
      <c r="Z209" s="7" t="inlineStr">
        <is>
          <t>com.logistics.rider.hungerstation</t>
        </is>
      </c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>
        <v>544</v>
      </c>
      <c r="Y210" s="4" t="inlineStr">
        <is>
          <t>2026-06-26</t>
        </is>
      </c>
      <c r="Z210" s="4" t="inlineStr">
        <is>
          <t>com.logistics.rider.glovo</t>
        </is>
      </c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13</v>
      </c>
      <c r="Y211" s="7" t="inlineStr">
        <is>
          <t>2026-06-26</t>
        </is>
      </c>
      <c r="Z211" s="7" t="inlineStr">
        <is>
          <t>com.logistics.rider.efood</t>
        </is>
      </c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3</v>
      </c>
      <c r="Y212" s="4" t="inlineStr">
        <is>
          <t>2026-06-26</t>
        </is>
      </c>
      <c r="Z212" s="4" t="inlineStr">
        <is>
          <t>com.logistics.rider.foody</t>
        </is>
      </c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106</v>
      </c>
      <c r="Y213" s="7" t="inlineStr">
        <is>
          <t>2026-06-27</t>
        </is>
      </c>
      <c r="Z213" s="7" t="inlineStr">
        <is>
          <t>com.logistics.rider.foodpanda</t>
        </is>
      </c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23</v>
      </c>
      <c r="Y214" s="4" t="inlineStr">
        <is>
          <t>2026-06-27</t>
        </is>
      </c>
      <c r="Z214" s="4" t="inlineStr">
        <is>
          <t>com.logistics.rider.foodora</t>
        </is>
      </c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47</v>
      </c>
      <c r="Y215" s="7" t="inlineStr">
        <is>
          <t>2026-06-27</t>
        </is>
      </c>
      <c r="Z215" s="7" t="inlineStr">
        <is>
          <t>com.logistics.rider.talabat</t>
        </is>
      </c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n"/>
      <c r="U216" s="4" t="n"/>
      <c r="V216" s="4" t="n"/>
      <c r="X216" s="4" t="n">
        <v>41</v>
      </c>
      <c r="Y216" s="4" t="inlineStr">
        <is>
          <t>2026-06-27</t>
        </is>
      </c>
      <c r="Z216" s="4" t="inlineStr">
        <is>
          <t>com.logistics.rider.pedidosya</t>
        </is>
      </c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n"/>
      <c r="U217" s="7" t="n"/>
      <c r="V217" s="7" t="n"/>
      <c r="X217" s="7" t="n">
        <v>19</v>
      </c>
      <c r="Y217" s="7" t="inlineStr">
        <is>
          <t>2026-06-27</t>
        </is>
      </c>
      <c r="Z217" s="7" t="inlineStr">
        <is>
          <t>com.logistics.rider.hungerstation</t>
        </is>
      </c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n"/>
      <c r="U218" s="4" t="n"/>
      <c r="V218" s="4" t="n"/>
      <c r="X218" s="4" t="n">
        <v>519</v>
      </c>
      <c r="Y218" s="4" t="inlineStr">
        <is>
          <t>2026-06-27</t>
        </is>
      </c>
      <c r="Z218" s="4" t="inlineStr">
        <is>
          <t>com.logistics.rider.glovo</t>
        </is>
      </c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n"/>
      <c r="U219" s="7" t="n"/>
      <c r="V219" s="7" t="n"/>
      <c r="X219" s="7" t="n">
        <v>1</v>
      </c>
      <c r="Y219" s="7" t="inlineStr">
        <is>
          <t>2026-06-27</t>
        </is>
      </c>
      <c r="Z219" s="7" t="inlineStr">
        <is>
          <t>com.logistics.rider.woowabros</t>
        </is>
      </c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n"/>
      <c r="U220" s="4" t="n"/>
      <c r="V220" s="4" t="n"/>
      <c r="X220" s="4" t="n">
        <v>11</v>
      </c>
      <c r="Y220" s="4" t="inlineStr">
        <is>
          <t>2026-06-27</t>
        </is>
      </c>
      <c r="Z220" s="4" t="inlineStr">
        <is>
          <t>com.logistics.rider.efood</t>
        </is>
      </c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2026-06-27</t>
        </is>
      </c>
      <c r="Z221" s="7" t="inlineStr">
        <is>
          <t>com.logistics.rider.foody</t>
        </is>
      </c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120</v>
      </c>
      <c r="Y222" s="4" t="inlineStr">
        <is>
          <t>2026-06-28</t>
        </is>
      </c>
      <c r="Z222" s="4" t="inlineStr">
        <is>
          <t>com.logistics.rider.foodpanda</t>
        </is>
      </c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n"/>
      <c r="U223" s="7" t="n"/>
      <c r="V223" s="7" t="n"/>
      <c r="X223" s="7" t="n">
        <v>16</v>
      </c>
      <c r="Y223" s="7" t="inlineStr">
        <is>
          <t>2026-06-28</t>
        </is>
      </c>
      <c r="Z223" s="7" t="inlineStr">
        <is>
          <t>com.logistics.rider.foodora</t>
        </is>
      </c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n"/>
      <c r="U224" s="4" t="n"/>
      <c r="V224" s="4" t="n"/>
      <c r="X224" s="4" t="n">
        <v>83</v>
      </c>
      <c r="Y224" s="4" t="inlineStr">
        <is>
          <t>2026-06-28</t>
        </is>
      </c>
      <c r="Z224" s="4" t="inlineStr">
        <is>
          <t>com.logistics.rider.talabat</t>
        </is>
      </c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n"/>
      <c r="U225" s="7" t="n"/>
      <c r="V225" s="7" t="n"/>
      <c r="X225" s="7" t="n">
        <v>36</v>
      </c>
      <c r="Y225" s="7" t="inlineStr">
        <is>
          <t>2026-06-28</t>
        </is>
      </c>
      <c r="Z225" s="7" t="inlineStr">
        <is>
          <t>com.logistics.rider.pedidosya</t>
        </is>
      </c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>
        <v>23</v>
      </c>
      <c r="Y226" s="4" t="inlineStr">
        <is>
          <t>2026-06-28</t>
        </is>
      </c>
      <c r="Z226" s="4" t="inlineStr">
        <is>
          <t>com.logistics.rider.hungerstation</t>
        </is>
      </c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n"/>
      <c r="U227" s="7" t="n"/>
      <c r="V227" s="7" t="n"/>
      <c r="X227" s="7" t="n">
        <v>514</v>
      </c>
      <c r="Y227" s="7" t="inlineStr">
        <is>
          <t>2026-06-28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  <row r="228">
      <c r="T228" s="4" t="n"/>
      <c r="U228" s="4" t="n"/>
      <c r="V228" s="4" t="n"/>
      <c r="X228" s="4" t="n">
        <v>11</v>
      </c>
      <c r="Y228" s="4" t="inlineStr">
        <is>
          <t>2026-06-28</t>
        </is>
      </c>
      <c r="Z228" s="4" t="inlineStr">
        <is>
          <t>com.logistics.rider.efood</t>
        </is>
      </c>
      <c r="AB228" s="4" t="n">
        <v>294</v>
      </c>
      <c r="AC228" s="4" t="inlineStr">
        <is>
          <t>2026-06-26</t>
        </is>
      </c>
      <c r="AD228" s="4" t="inlineStr">
        <is>
          <t>com.logistics.rider.foodpanda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34</v>
      </c>
      <c r="AC229" s="7" t="inlineStr">
        <is>
          <t>2026-06-26</t>
        </is>
      </c>
      <c r="AD229" s="7" t="inlineStr">
        <is>
          <t>com.logistics.rider.foodora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134</v>
      </c>
      <c r="AC230" s="4" t="inlineStr">
        <is>
          <t>2026-06-26</t>
        </is>
      </c>
      <c r="AD230" s="4" t="inlineStr">
        <is>
          <t>com.logistics.rider.talabat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45</v>
      </c>
      <c r="AC231" s="7" t="inlineStr">
        <is>
          <t>2026-06-26</t>
        </is>
      </c>
      <c r="AD231" s="7" t="inlineStr">
        <is>
          <t>com.logistics.rider.pedidosya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44</v>
      </c>
      <c r="AC232" s="4" t="inlineStr">
        <is>
          <t>2026-06-26</t>
        </is>
      </c>
      <c r="AD232" s="4" t="inlineStr">
        <is>
          <t>com.logistics.rider.hungerstation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1</v>
      </c>
      <c r="AC233" s="7" t="inlineStr">
        <is>
          <t>2026-06-26</t>
        </is>
      </c>
      <c r="AD233" s="7" t="inlineStr">
        <is>
          <t>com.logistics.rider.yemeksepeti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137</v>
      </c>
      <c r="AC234" s="4" t="inlineStr">
        <is>
          <t>2026-06-26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3</v>
      </c>
      <c r="AC235" s="7" t="inlineStr">
        <is>
          <t>2026-06-26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6</v>
      </c>
      <c r="AC236" s="4" t="inlineStr">
        <is>
          <t>2026-06-26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3</v>
      </c>
      <c r="AC237" s="7" t="inlineStr">
        <is>
          <t>2026-06-26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324</v>
      </c>
      <c r="AC238" s="4" t="inlineStr">
        <is>
          <t>2026-06-27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26</v>
      </c>
      <c r="AC239" s="7" t="inlineStr">
        <is>
          <t>2026-06-27</t>
        </is>
      </c>
      <c r="AD239" s="7" t="inlineStr">
        <is>
          <t>com.logistics.rider.foodora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146</v>
      </c>
      <c r="AC240" s="4" t="inlineStr">
        <is>
          <t>2026-06-27</t>
        </is>
      </c>
      <c r="AD240" s="4" t="inlineStr">
        <is>
          <t>com.logistics.rider.talabat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51</v>
      </c>
      <c r="AC241" s="7" t="inlineStr">
        <is>
          <t>2026-06-27</t>
        </is>
      </c>
      <c r="AD241" s="7" t="inlineStr">
        <is>
          <t>com.logistics.rider.pedidosya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36</v>
      </c>
      <c r="AC242" s="4" t="inlineStr">
        <is>
          <t>2026-06-27</t>
        </is>
      </c>
      <c r="AD242" s="4" t="inlineStr">
        <is>
          <t>com.logistics.rider.hungerstation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135</v>
      </c>
      <c r="AC243" s="7" t="inlineStr">
        <is>
          <t>2026-06-27</t>
        </is>
      </c>
      <c r="AD243" s="7" t="inlineStr">
        <is>
          <t>com.logistics.rider.glovo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3</v>
      </c>
      <c r="AC244" s="4" t="inlineStr">
        <is>
          <t>2026-06-27</t>
        </is>
      </c>
      <c r="AD244" s="4" t="inlineStr">
        <is>
          <t>com.logistics.rider.woowabros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4</v>
      </c>
      <c r="AC245" s="7" t="inlineStr">
        <is>
          <t>2026-06-27</t>
        </is>
      </c>
      <c r="AD245" s="7" t="inlineStr">
        <is>
          <t>com.logistics.rider.efood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2</v>
      </c>
      <c r="AC246" s="4" t="inlineStr">
        <is>
          <t>2026-06-27</t>
        </is>
      </c>
      <c r="AD246" s="4" t="inlineStr">
        <is>
          <t>com.logistics.rider.foody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384</v>
      </c>
      <c r="AC247" s="7" t="inlineStr">
        <is>
          <t>2026-06-28</t>
        </is>
      </c>
      <c r="AD247" s="7" t="inlineStr">
        <is>
          <t>com.logistics.rider.foodpanda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25</v>
      </c>
      <c r="AC248" s="4" t="inlineStr">
        <is>
          <t>2026-06-28</t>
        </is>
      </c>
      <c r="AD248" s="4" t="inlineStr">
        <is>
          <t>com.logistics.rider.foodora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147</v>
      </c>
      <c r="AC249" s="7" t="inlineStr">
        <is>
          <t>2026-06-28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36</v>
      </c>
      <c r="AC250" s="4" t="inlineStr">
        <is>
          <t>2026-06-28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55</v>
      </c>
      <c r="AC251" s="7" t="inlineStr">
        <is>
          <t>2026-06-28</t>
        </is>
      </c>
      <c r="AD251" s="7" t="inlineStr">
        <is>
          <t>com.logistics.rider.hungerstation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146</v>
      </c>
      <c r="AC252" s="4" t="inlineStr">
        <is>
          <t>2026-06-28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4</v>
      </c>
      <c r="AC253" s="7" t="inlineStr">
        <is>
          <t>2026-06-28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4</v>
      </c>
      <c r="AC254" s="4" t="inlineStr">
        <is>
          <t>2026-06-28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2</v>
      </c>
      <c r="AC255" s="7" t="inlineStr">
        <is>
          <t>2026-06-28</t>
        </is>
      </c>
      <c r="AD25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2026-06-29T17:08:49Z</dcterms:created>
  <dcterms:modified xsi:type="dcterms:W3CDTF">2026-06-29T17:08:49Z</dcterms:modified>
</cp:coreProperties>
</file>