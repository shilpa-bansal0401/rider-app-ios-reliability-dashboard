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>
        <f>SUMIFS(V:V,U:U,"*"&amp;$B$10&amp;"*",T:T,C32)</f>
        <v/>
      </c>
      <c r="E32" s="4">
        <f>SUMIFS(X:X,Z:Z,"*"&amp;$B$10&amp;"*",Y:Y,C32)</f>
        <v/>
      </c>
      <c r="F32" s="4" t="n"/>
      <c r="G32" s="4">
        <f>ROUND(MAX(0,MIN(100,(1-E32/IF(D32&gt;0,D32,SUMIFS(Consolidation!$M:$M,Consolidation!$A:$A,"*"&amp;$B$10&amp;"*")/31))*100)),2)</f>
        <v/>
      </c>
      <c r="H32" s="4">
        <f>MIN(1,(G32-$B$3)/($B$4-$B$3))*$B$1</f>
        <v/>
      </c>
      <c r="I32" s="4" t="n"/>
      <c r="J32" s="4" t="n"/>
      <c r="K32" s="4">
        <f>SUMIFS(AB:AB,AD:AD,"*"&amp;$B$10&amp;"*",AC:AC,C32)</f>
        <v/>
      </c>
      <c r="L32" s="4">
        <f>ROUND(MAX(0,MIN(100,100*(1-K32/IF(D32&gt;0,D32,SUMIFS(Consolidation!$M:$M,Consolidation!$A:$A,"*"&amp;$B$10&amp;"*")/31)))),2)</f>
        <v/>
      </c>
      <c r="M32" s="4">
        <f>MAX(0,(L32-$B$6)/($B$7-$B$6)*$B$8)</f>
        <v/>
      </c>
      <c r="N32" s="4">
        <f>$B$2+H32+M32</f>
        <v/>
      </c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1" t="n"/>
      <c r="E33" s="21" t="n"/>
      <c r="F33" s="21" t="n"/>
      <c r="G33" s="22" t="inlineStr">
        <is>
          <t>AVG CFU</t>
        </is>
      </c>
      <c r="H33" s="21" t="n"/>
      <c r="I33" s="22" t="inlineStr">
        <is>
          <t>July AQS score</t>
        </is>
      </c>
      <c r="J33" s="21" t="n"/>
      <c r="K33" s="21" t="n"/>
      <c r="L33" s="22" t="inlineStr">
        <is>
          <t>AVG Hang-free</t>
        </is>
      </c>
      <c r="M33" s="21" t="n"/>
      <c r="N33" s="22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3">
        <f>AVERAGE(D2:D32)</f>
        <v/>
      </c>
      <c r="E34" s="24" t="n"/>
      <c r="F34" s="24" t="n"/>
      <c r="G34" s="25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6">
        <f>AVERAGE(H2:H32)</f>
        <v/>
      </c>
      <c r="I34" s="26">
        <f>$B$2+H34</f>
        <v/>
      </c>
      <c r="J34" s="24" t="n"/>
      <c r="K34" s="24" t="n"/>
      <c r="L34" s="25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6">
        <f>MAX(0,(L34-$B$6)/($B$7-$B$6)*$B$8)</f>
        <v/>
      </c>
      <c r="N34" s="26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42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n"/>
      <c r="U181" s="7" t="n"/>
      <c r="V181" s="7" t="n"/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n"/>
      <c r="U182" s="4" t="n"/>
      <c r="V182" s="4" t="n"/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n"/>
      <c r="U183" s="7" t="n"/>
      <c r="V183" s="7" t="n"/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n"/>
      <c r="U184" s="4" t="n"/>
      <c r="V184" s="4" t="n"/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n"/>
      <c r="U186" s="4" t="n"/>
      <c r="V186" s="4" t="n"/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n"/>
      <c r="U187" s="7" t="n"/>
      <c r="V187" s="7" t="n"/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n"/>
      <c r="U188" s="4" t="n"/>
      <c r="V188" s="4" t="n"/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19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n"/>
      <c r="U191" s="7" t="n"/>
      <c r="V191" s="7" t="n"/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n"/>
      <c r="U192" s="4" t="n"/>
      <c r="V192" s="4" t="n"/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n"/>
      <c r="U195" s="7" t="n"/>
      <c r="V195" s="7" t="n"/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n"/>
      <c r="U196" s="4" t="n"/>
      <c r="V196" s="4" t="n"/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76</v>
      </c>
      <c r="Y202" s="4" t="inlineStr">
        <is>
          <t>2026-07-26</t>
        </is>
      </c>
      <c r="Z202" s="4" t="inlineStr">
        <is>
          <t>com.logistics.rider.foodpanda</t>
        </is>
      </c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16</v>
      </c>
      <c r="Y203" s="7" t="inlineStr">
        <is>
          <t>2026-07-26</t>
        </is>
      </c>
      <c r="Z203" s="7" t="inlineStr">
        <is>
          <t>com.logistics.rider.foodora</t>
        </is>
      </c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41</v>
      </c>
      <c r="Y204" s="4" t="inlineStr">
        <is>
          <t>2026-07-26</t>
        </is>
      </c>
      <c r="Z204" s="4" t="inlineStr">
        <is>
          <t>com.logistics.rider.talabat</t>
        </is>
      </c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36</v>
      </c>
      <c r="Y205" s="7" t="inlineStr">
        <is>
          <t>2026-07-26</t>
        </is>
      </c>
      <c r="Z205" s="7" t="inlineStr">
        <is>
          <t>com.logistics.rider.pedidosya</t>
        </is>
      </c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9</v>
      </c>
      <c r="Y206" s="4" t="inlineStr">
        <is>
          <t>2026-07-26</t>
        </is>
      </c>
      <c r="Z206" s="4" t="inlineStr">
        <is>
          <t>com.logistics.rider.hungerstation</t>
        </is>
      </c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57</v>
      </c>
      <c r="Y207" s="7" t="inlineStr">
        <is>
          <t>2026-07-26</t>
        </is>
      </c>
      <c r="Z207" s="7" t="inlineStr">
        <is>
          <t>com.logistics.rider.glovo</t>
        </is>
      </c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2</v>
      </c>
      <c r="Y208" s="4" t="inlineStr">
        <is>
          <t>2026-07-26</t>
        </is>
      </c>
      <c r="Z208" s="4" t="inlineStr">
        <is>
          <t>com.logistics.rider.woowabros</t>
        </is>
      </c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5</v>
      </c>
      <c r="Y209" s="7" t="inlineStr">
        <is>
          <t>2026-07-26</t>
        </is>
      </c>
      <c r="Z209" s="7" t="inlineStr">
        <is>
          <t>com.logistics.rider.efood</t>
        </is>
      </c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2</v>
      </c>
      <c r="Y210" s="4" t="inlineStr">
        <is>
          <t>2026-07-26</t>
        </is>
      </c>
      <c r="Z210" s="4" t="inlineStr">
        <is>
          <t>com.logistics.rider.foody</t>
        </is>
      </c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87</v>
      </c>
      <c r="Y211" s="7" t="inlineStr">
        <is>
          <t>2026-07-27</t>
        </is>
      </c>
      <c r="Z211" s="7" t="inlineStr">
        <is>
          <t>com.logistics.rider.foodpanda</t>
        </is>
      </c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15</v>
      </c>
      <c r="Y212" s="4" t="inlineStr">
        <is>
          <t>2026-07-27</t>
        </is>
      </c>
      <c r="Z212" s="4" t="inlineStr">
        <is>
          <t>com.logistics.rider.foodora</t>
        </is>
      </c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2026-07-27</t>
        </is>
      </c>
      <c r="Z213" s="7" t="inlineStr">
        <is>
          <t>com.logistics.rider.talabat</t>
        </is>
      </c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14</v>
      </c>
      <c r="Y214" s="4" t="inlineStr">
        <is>
          <t>2026-07-27</t>
        </is>
      </c>
      <c r="Z214" s="4" t="inlineStr">
        <is>
          <t>com.logistics.rider.pedidosya</t>
        </is>
      </c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11</v>
      </c>
      <c r="Y215" s="7" t="inlineStr">
        <is>
          <t>2026-07-27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n"/>
      <c r="U216" s="4" t="n"/>
      <c r="V216" s="4" t="n"/>
      <c r="X216" s="4" t="n">
        <v>70</v>
      </c>
      <c r="Y216" s="4" t="inlineStr">
        <is>
          <t>2026-07-27</t>
        </is>
      </c>
      <c r="Z216" s="4" t="inlineStr">
        <is>
          <t>com.logistics.rider.glovo</t>
        </is>
      </c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2026-07-27</t>
        </is>
      </c>
      <c r="Z217" s="7" t="inlineStr">
        <is>
          <t>com.logistics.rider.efood</t>
        </is>
      </c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n"/>
      <c r="U218" s="4" t="n"/>
      <c r="V218" s="4" t="n"/>
      <c r="X218" s="4" t="n">
        <v>82</v>
      </c>
      <c r="Y218" s="4" t="inlineStr">
        <is>
          <t>2026-07-28</t>
        </is>
      </c>
      <c r="Z218" s="4" t="inlineStr">
        <is>
          <t>com.logistics.rider.foodpanda</t>
        </is>
      </c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n"/>
      <c r="U219" s="7" t="n"/>
      <c r="V219" s="7" t="n"/>
      <c r="X219" s="7" t="n">
        <v>14</v>
      </c>
      <c r="Y219" s="7" t="inlineStr">
        <is>
          <t>2026-07-28</t>
        </is>
      </c>
      <c r="Z219" s="7" t="inlineStr">
        <is>
          <t>com.logistics.rider.foodora</t>
        </is>
      </c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n"/>
      <c r="U220" s="4" t="n"/>
      <c r="V220" s="4" t="n"/>
      <c r="X220" s="4" t="n">
        <v>51</v>
      </c>
      <c r="Y220" s="4" t="inlineStr">
        <is>
          <t>2026-07-28</t>
        </is>
      </c>
      <c r="Z220" s="4" t="inlineStr">
        <is>
          <t>com.logistics.rider.talabat</t>
        </is>
      </c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n"/>
      <c r="U221" s="7" t="n"/>
      <c r="V221" s="7" t="n"/>
      <c r="X221" s="7" t="n">
        <v>18</v>
      </c>
      <c r="Y221" s="7" t="inlineStr">
        <is>
          <t>2026-07-28</t>
        </is>
      </c>
      <c r="Z221" s="7" t="inlineStr">
        <is>
          <t>com.logistics.rider.pedidosya</t>
        </is>
      </c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n"/>
      <c r="U222" s="4" t="n"/>
      <c r="V222" s="4" t="n"/>
      <c r="X222" s="4" t="n">
        <v>13</v>
      </c>
      <c r="Y222" s="4" t="inlineStr">
        <is>
          <t>2026-07-28</t>
        </is>
      </c>
      <c r="Z222" s="4" t="inlineStr">
        <is>
          <t>com.logistics.rider.hungerstation</t>
        </is>
      </c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56</v>
      </c>
      <c r="Y223" s="7" t="inlineStr">
        <is>
          <t>2026-07-28</t>
        </is>
      </c>
      <c r="Z223" s="7" t="inlineStr">
        <is>
          <t>com.logistics.rider.glovo</t>
        </is>
      </c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7</v>
      </c>
      <c r="Y224" s="4" t="inlineStr">
        <is>
          <t>2026-07-28</t>
        </is>
      </c>
      <c r="Z224" s="4" t="inlineStr">
        <is>
          <t>com.logistics.rider.efood</t>
        </is>
      </c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2026-07-28</t>
        </is>
      </c>
      <c r="Z225" s="7" t="inlineStr">
        <is>
          <t>com.logistics.rider.foody</t>
        </is>
      </c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>
        <v>92</v>
      </c>
      <c r="Y226" s="4" t="inlineStr">
        <is>
          <t>2026-07-29</t>
        </is>
      </c>
      <c r="Z226" s="4" t="inlineStr">
        <is>
          <t>com.logistics.rider.foodpanda</t>
        </is>
      </c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n"/>
      <c r="U227" s="7" t="n"/>
      <c r="V227" s="7" t="n"/>
      <c r="X227" s="7" t="n">
        <v>14</v>
      </c>
      <c r="Y227" s="7" t="inlineStr">
        <is>
          <t>2026-07-29</t>
        </is>
      </c>
      <c r="Z227" s="7" t="inlineStr">
        <is>
          <t>com.logistics.rider.foodora</t>
        </is>
      </c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n"/>
      <c r="U228" s="4" t="n"/>
      <c r="V228" s="4" t="n"/>
      <c r="X228" s="4" t="n">
        <v>50</v>
      </c>
      <c r="Y228" s="4" t="inlineStr">
        <is>
          <t>2026-07-29</t>
        </is>
      </c>
      <c r="Z228" s="4" t="inlineStr">
        <is>
          <t>com.logistics.rider.talabat</t>
        </is>
      </c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  <row r="229">
      <c r="T229" s="7" t="n"/>
      <c r="U229" s="7" t="n"/>
      <c r="V229" s="7" t="n"/>
      <c r="X229" s="7" t="n">
        <v>16</v>
      </c>
      <c r="Y229" s="7" t="inlineStr">
        <is>
          <t>2026-07-29</t>
        </is>
      </c>
      <c r="Z229" s="7" t="inlineStr">
        <is>
          <t>com.logistics.rider.pedidosya</t>
        </is>
      </c>
      <c r="AB229" s="7" t="n">
        <v>410</v>
      </c>
      <c r="AC229" s="7" t="inlineStr">
        <is>
          <t>2026-07-26</t>
        </is>
      </c>
      <c r="AD229" s="7" t="inlineStr">
        <is>
          <t>com.logistics.rider.foodpanda</t>
        </is>
      </c>
    </row>
    <row r="230">
      <c r="T230" s="4" t="n"/>
      <c r="U230" s="4" t="n"/>
      <c r="V230" s="4" t="n"/>
      <c r="X230" s="4" t="n">
        <v>22</v>
      </c>
      <c r="Y230" s="4" t="inlineStr">
        <is>
          <t>2026-07-29</t>
        </is>
      </c>
      <c r="Z230" s="4" t="inlineStr">
        <is>
          <t>com.logistics.rider.hungerstation</t>
        </is>
      </c>
      <c r="AB230" s="4" t="n">
        <v>45</v>
      </c>
      <c r="AC230" s="4" t="inlineStr">
        <is>
          <t>2026-07-26</t>
        </is>
      </c>
      <c r="AD230" s="4" t="inlineStr">
        <is>
          <t>com.logistics.rider.foodora</t>
        </is>
      </c>
    </row>
    <row r="231">
      <c r="T231" s="7" t="n"/>
      <c r="U231" s="7" t="n"/>
      <c r="V231" s="7" t="n"/>
      <c r="X231" s="7" t="n">
        <v>65</v>
      </c>
      <c r="Y231" s="7" t="inlineStr">
        <is>
          <t>2026-07-29</t>
        </is>
      </c>
      <c r="Z231" s="7" t="inlineStr">
        <is>
          <t>com.logistics.rider.glovo</t>
        </is>
      </c>
      <c r="AB231" s="7" t="n">
        <v>154</v>
      </c>
      <c r="AC231" s="7" t="inlineStr">
        <is>
          <t>2026-07-26</t>
        </is>
      </c>
      <c r="AD231" s="7" t="inlineStr">
        <is>
          <t>com.logistics.rider.talabat</t>
        </is>
      </c>
    </row>
    <row r="232">
      <c r="T232" s="4" t="n"/>
      <c r="U232" s="4" t="n"/>
      <c r="V232" s="4" t="n"/>
      <c r="X232" s="4" t="n">
        <v>6</v>
      </c>
      <c r="Y232" s="4" t="inlineStr">
        <is>
          <t>2026-07-29</t>
        </is>
      </c>
      <c r="Z232" s="4" t="inlineStr">
        <is>
          <t>com.logistics.rider.efood</t>
        </is>
      </c>
      <c r="AB232" s="4" t="n">
        <v>70</v>
      </c>
      <c r="AC232" s="4" t="inlineStr">
        <is>
          <t>2026-07-26</t>
        </is>
      </c>
      <c r="AD232" s="4" t="inlineStr">
        <is>
          <t>com.logistics.rider.pedidosya</t>
        </is>
      </c>
    </row>
    <row r="233">
      <c r="T233" s="7" t="n"/>
      <c r="U233" s="7" t="n"/>
      <c r="V233" s="7" t="n"/>
      <c r="X233" s="7" t="n">
        <v>63</v>
      </c>
      <c r="Y233" s="7" t="inlineStr">
        <is>
          <t>2026-07-30</t>
        </is>
      </c>
      <c r="Z233" s="7" t="inlineStr">
        <is>
          <t>com.logistics.rider.foodpanda</t>
        </is>
      </c>
      <c r="AB233" s="7" t="n">
        <v>55</v>
      </c>
      <c r="AC233" s="7" t="inlineStr">
        <is>
          <t>2026-07-26</t>
        </is>
      </c>
      <c r="AD233" s="7" t="inlineStr">
        <is>
          <t>com.logistics.rider.hungerstation</t>
        </is>
      </c>
    </row>
    <row r="234">
      <c r="T234" s="4" t="n"/>
      <c r="U234" s="4" t="n"/>
      <c r="V234" s="4" t="n"/>
      <c r="X234" s="4" t="n">
        <v>8</v>
      </c>
      <c r="Y234" s="4" t="inlineStr">
        <is>
          <t>2026-07-30</t>
        </is>
      </c>
      <c r="Z234" s="4" t="inlineStr">
        <is>
          <t>com.logistics.rider.foodora</t>
        </is>
      </c>
      <c r="AB234" s="4" t="n">
        <v>153</v>
      </c>
      <c r="AC234" s="4" t="inlineStr">
        <is>
          <t>2026-07-26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64</v>
      </c>
      <c r="Y235" s="7" t="inlineStr">
        <is>
          <t>2026-07-30</t>
        </is>
      </c>
      <c r="Z235" s="7" t="inlineStr">
        <is>
          <t>com.logistics.rider.talabat</t>
        </is>
      </c>
      <c r="AB235" s="7" t="n">
        <v>3</v>
      </c>
      <c r="AC235" s="7" t="inlineStr">
        <is>
          <t>2026-07-26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24</v>
      </c>
      <c r="Y236" s="4" t="inlineStr">
        <is>
          <t>2026-07-30</t>
        </is>
      </c>
      <c r="Z236" s="4" t="inlineStr">
        <is>
          <t>com.logistics.rider.pedidosya</t>
        </is>
      </c>
      <c r="AB236" s="4" t="n">
        <v>9</v>
      </c>
      <c r="AC236" s="4" t="inlineStr">
        <is>
          <t>2026-07-26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20</v>
      </c>
      <c r="Y237" s="7" t="inlineStr">
        <is>
          <t>2026-07-30</t>
        </is>
      </c>
      <c r="Z237" s="7" t="inlineStr">
        <is>
          <t>com.logistics.rider.hungerstation</t>
        </is>
      </c>
      <c r="AB237" s="7" t="n">
        <v>1</v>
      </c>
      <c r="AC237" s="7" t="inlineStr">
        <is>
          <t>2026-07-26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83</v>
      </c>
      <c r="Y238" s="4" t="inlineStr">
        <is>
          <t>2026-07-30</t>
        </is>
      </c>
      <c r="Z238" s="4" t="inlineStr">
        <is>
          <t>com.logistics.rider.glovo</t>
        </is>
      </c>
      <c r="AB238" s="4" t="n">
        <v>410</v>
      </c>
      <c r="AC238" s="4" t="inlineStr">
        <is>
          <t>2026-07-27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10</v>
      </c>
      <c r="Y239" s="7" t="inlineStr">
        <is>
          <t>2026-07-30</t>
        </is>
      </c>
      <c r="Z239" s="7" t="inlineStr">
        <is>
          <t>com.logistics.rider.efood</t>
        </is>
      </c>
      <c r="AB239" s="7" t="n">
        <v>36</v>
      </c>
      <c r="AC239" s="7" t="inlineStr">
        <is>
          <t>2026-07-27</t>
        </is>
      </c>
      <c r="AD239" s="7" t="inlineStr">
        <is>
          <t>com.logistics.rider.foodora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2026-07-30</t>
        </is>
      </c>
      <c r="Z240" s="4" t="inlineStr">
        <is>
          <t>com.logistics.rider.foody</t>
        </is>
      </c>
      <c r="AB240" s="4" t="n">
        <v>151</v>
      </c>
      <c r="AC240" s="4" t="inlineStr">
        <is>
          <t>2026-07-27</t>
        </is>
      </c>
      <c r="AD240" s="4" t="inlineStr">
        <is>
          <t>com.logistics.rider.talabat</t>
        </is>
      </c>
    </row>
    <row r="241">
      <c r="T241" s="7" t="n"/>
      <c r="U241" s="7" t="n"/>
      <c r="V241" s="7" t="n"/>
      <c r="X241" s="7" t="n">
        <v>80</v>
      </c>
      <c r="Y241" s="7" t="inlineStr">
        <is>
          <t>2026-07-31</t>
        </is>
      </c>
      <c r="Z241" s="7" t="inlineStr">
        <is>
          <t>com.logistics.rider.foodpanda</t>
        </is>
      </c>
      <c r="AB241" s="7" t="n">
        <v>64</v>
      </c>
      <c r="AC241" s="7" t="inlineStr">
        <is>
          <t>2026-07-27</t>
        </is>
      </c>
      <c r="AD241" s="7" t="inlineStr">
        <is>
          <t>com.logistics.rider.pedidosya</t>
        </is>
      </c>
    </row>
    <row r="242">
      <c r="T242" s="4" t="n"/>
      <c r="U242" s="4" t="n"/>
      <c r="V242" s="4" t="n"/>
      <c r="X242" s="4" t="n">
        <v>19</v>
      </c>
      <c r="Y242" s="4" t="inlineStr">
        <is>
          <t>2026-07-31</t>
        </is>
      </c>
      <c r="Z242" s="4" t="inlineStr">
        <is>
          <t>com.logistics.rider.foodora</t>
        </is>
      </c>
      <c r="AB242" s="4" t="n">
        <v>42</v>
      </c>
      <c r="AC242" s="4" t="inlineStr">
        <is>
          <t>2026-07-27</t>
        </is>
      </c>
      <c r="AD242" s="4" t="inlineStr">
        <is>
          <t>com.logistics.rider.hungerstation</t>
        </is>
      </c>
    </row>
    <row r="243">
      <c r="T243" s="7" t="n"/>
      <c r="U243" s="7" t="n"/>
      <c r="V243" s="7" t="n"/>
      <c r="X243" s="7" t="n">
        <v>33</v>
      </c>
      <c r="Y243" s="7" t="inlineStr">
        <is>
          <t>2026-07-31</t>
        </is>
      </c>
      <c r="Z243" s="7" t="inlineStr">
        <is>
          <t>com.logistics.rider.talabat</t>
        </is>
      </c>
      <c r="AB243" s="7" t="n">
        <v>180</v>
      </c>
      <c r="AC243" s="7" t="inlineStr">
        <is>
          <t>2026-07-27</t>
        </is>
      </c>
      <c r="AD243" s="7" t="inlineStr">
        <is>
          <t>com.logistics.rider.glovo</t>
        </is>
      </c>
    </row>
    <row r="244">
      <c r="T244" s="4" t="n"/>
      <c r="U244" s="4" t="n"/>
      <c r="V244" s="4" t="n"/>
      <c r="X244" s="4" t="n">
        <v>32</v>
      </c>
      <c r="Y244" s="4" t="inlineStr">
        <is>
          <t>2026-07-31</t>
        </is>
      </c>
      <c r="Z244" s="4" t="inlineStr">
        <is>
          <t>com.logistics.rider.pedidosya</t>
        </is>
      </c>
      <c r="AB244" s="4" t="n">
        <v>2</v>
      </c>
      <c r="AC244" s="4" t="inlineStr">
        <is>
          <t>2026-07-27</t>
        </is>
      </c>
      <c r="AD244" s="4" t="inlineStr">
        <is>
          <t>com.logistics.rider.woowabros</t>
        </is>
      </c>
    </row>
    <row r="245">
      <c r="T245" s="7" t="n"/>
      <c r="U245" s="7" t="n"/>
      <c r="V245" s="7" t="n"/>
      <c r="X245" s="7" t="n">
        <v>15</v>
      </c>
      <c r="Y245" s="7" t="inlineStr">
        <is>
          <t>2026-07-31</t>
        </is>
      </c>
      <c r="Z245" s="7" t="inlineStr">
        <is>
          <t>com.logistics.rider.hungerstation</t>
        </is>
      </c>
      <c r="AB245" s="7" t="n">
        <v>16</v>
      </c>
      <c r="AC245" s="7" t="inlineStr">
        <is>
          <t>2026-07-27</t>
        </is>
      </c>
      <c r="AD245" s="7" t="inlineStr">
        <is>
          <t>com.logistics.rider.efood</t>
        </is>
      </c>
    </row>
    <row r="246">
      <c r="T246" s="4" t="n"/>
      <c r="U246" s="4" t="n"/>
      <c r="V246" s="4" t="n"/>
      <c r="X246" s="4" t="n">
        <v>82</v>
      </c>
      <c r="Y246" s="4" t="inlineStr">
        <is>
          <t>2026-07-31</t>
        </is>
      </c>
      <c r="Z246" s="4" t="inlineStr">
        <is>
          <t>com.logistics.rider.glovo</t>
        </is>
      </c>
      <c r="AB246" s="4" t="n">
        <v>4</v>
      </c>
      <c r="AC246" s="4" t="inlineStr">
        <is>
          <t>2026-07-27</t>
        </is>
      </c>
      <c r="AD246" s="4" t="inlineStr">
        <is>
          <t>com.logistics.rider.foody</t>
        </is>
      </c>
    </row>
    <row r="247">
      <c r="T247" s="7" t="n"/>
      <c r="U247" s="7" t="n"/>
      <c r="V247" s="7" t="n"/>
      <c r="X247" s="7" t="n">
        <v>9</v>
      </c>
      <c r="Y247" s="7" t="inlineStr">
        <is>
          <t>2026-07-31</t>
        </is>
      </c>
      <c r="Z247" s="7" t="inlineStr">
        <is>
          <t>com.logistics.rider.efood</t>
        </is>
      </c>
      <c r="AB247" s="7" t="n">
        <v>442</v>
      </c>
      <c r="AC247" s="7" t="inlineStr">
        <is>
          <t>2026-07-28</t>
        </is>
      </c>
      <c r="AD247" s="7" t="inlineStr">
        <is>
          <t>com.logistics.rider.foodpanda</t>
        </is>
      </c>
    </row>
    <row r="248">
      <c r="T248" s="4" t="n"/>
      <c r="U248" s="4" t="n"/>
      <c r="V248" s="4" t="n"/>
      <c r="X248" s="4" t="n">
        <v>5</v>
      </c>
      <c r="Y248" s="4" t="inlineStr">
        <is>
          <t>2026-07-31</t>
        </is>
      </c>
      <c r="Z248" s="4" t="inlineStr">
        <is>
          <t>com.logistics.rider.foody</t>
        </is>
      </c>
      <c r="AB248" s="4" t="n">
        <v>47</v>
      </c>
      <c r="AC248" s="4" t="inlineStr">
        <is>
          <t>2026-07-28</t>
        </is>
      </c>
      <c r="AD248" s="4" t="inlineStr">
        <is>
          <t>com.logistics.rider.foodora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164</v>
      </c>
      <c r="AC249" s="7" t="inlineStr">
        <is>
          <t>2026-07-28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59</v>
      </c>
      <c r="AC250" s="4" t="inlineStr">
        <is>
          <t>2026-07-28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40</v>
      </c>
      <c r="AC251" s="7" t="inlineStr">
        <is>
          <t>2026-07-28</t>
        </is>
      </c>
      <c r="AD251" s="7" t="inlineStr">
        <is>
          <t>com.logistics.rider.hungerstation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210</v>
      </c>
      <c r="AC252" s="4" t="inlineStr">
        <is>
          <t>2026-07-28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15</v>
      </c>
      <c r="AC253" s="7" t="inlineStr">
        <is>
          <t>2026-07-28</t>
        </is>
      </c>
      <c r="AD253" s="7" t="inlineStr">
        <is>
          <t>com.logistics.rider.efood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3</v>
      </c>
      <c r="AC254" s="4" t="inlineStr">
        <is>
          <t>2026-07-28</t>
        </is>
      </c>
      <c r="AD254" s="4" t="inlineStr">
        <is>
          <t>com.logistics.rider.foody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427</v>
      </c>
      <c r="AC255" s="7" t="inlineStr">
        <is>
          <t>2026-07-29</t>
        </is>
      </c>
      <c r="AD255" s="7" t="inlineStr">
        <is>
          <t>com.logistics.rider.foodpanda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52</v>
      </c>
      <c r="AC256" s="4" t="inlineStr">
        <is>
          <t>2026-07-29</t>
        </is>
      </c>
      <c r="AD256" s="4" t="inlineStr">
        <is>
          <t>com.logistics.rider.foodora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203</v>
      </c>
      <c r="AC257" s="7" t="inlineStr">
        <is>
          <t>2026-07-29</t>
        </is>
      </c>
      <c r="AD257" s="7" t="inlineStr">
        <is>
          <t>com.logistics.rider.talabat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66</v>
      </c>
      <c r="AC258" s="4" t="inlineStr">
        <is>
          <t>2026-07-29</t>
        </is>
      </c>
      <c r="AD258" s="4" t="inlineStr">
        <is>
          <t>com.logistics.rider.pedidosya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52</v>
      </c>
      <c r="AC259" s="7" t="inlineStr">
        <is>
          <t>2026-07-29</t>
        </is>
      </c>
      <c r="AD259" s="7" t="inlineStr">
        <is>
          <t>com.logistics.rider.hungerstation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187</v>
      </c>
      <c r="AC260" s="4" t="inlineStr">
        <is>
          <t>2026-07-29</t>
        </is>
      </c>
      <c r="AD260" s="4" t="inlineStr">
        <is>
          <t>com.logistics.rider.glovo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</v>
      </c>
      <c r="AC261" s="7" t="inlineStr">
        <is>
          <t>2026-07-29</t>
        </is>
      </c>
      <c r="AD261" s="7" t="inlineStr">
        <is>
          <t>com.logistics.rider.woowabros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14</v>
      </c>
      <c r="AC262" s="4" t="inlineStr">
        <is>
          <t>2026-07-29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2</v>
      </c>
      <c r="AC263" s="7" t="inlineStr">
        <is>
          <t>2026-07-29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449</v>
      </c>
      <c r="AC264" s="4" t="inlineStr">
        <is>
          <t>2026-07-30</t>
        </is>
      </c>
      <c r="AD264" s="4" t="inlineStr">
        <is>
          <t>com.logistics.rider.foodpanda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53</v>
      </c>
      <c r="AC265" s="7" t="inlineStr">
        <is>
          <t>2026-07-30</t>
        </is>
      </c>
      <c r="AD265" s="7" t="inlineStr">
        <is>
          <t>com.logistics.rider.foodora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204</v>
      </c>
      <c r="AC266" s="4" t="inlineStr">
        <is>
          <t>2026-07-30</t>
        </is>
      </c>
      <c r="AD266" s="4" t="inlineStr">
        <is>
          <t>com.logistics.rider.talabat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69</v>
      </c>
      <c r="AC267" s="7" t="inlineStr">
        <is>
          <t>2026-07-30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55</v>
      </c>
      <c r="AC268" s="4" t="inlineStr">
        <is>
          <t>2026-07-30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223</v>
      </c>
      <c r="AC269" s="7" t="inlineStr">
        <is>
          <t>2026-07-30</t>
        </is>
      </c>
      <c r="AD269" s="7" t="inlineStr">
        <is>
          <t>com.logistics.rider.glovo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3</v>
      </c>
      <c r="AC270" s="4" t="inlineStr">
        <is>
          <t>2026-07-30</t>
        </is>
      </c>
      <c r="AD270" s="4" t="inlineStr">
        <is>
          <t>com.logistics.rider.woowabros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14</v>
      </c>
      <c r="AC271" s="7" t="inlineStr">
        <is>
          <t>2026-07-30</t>
        </is>
      </c>
      <c r="AD271" s="7" t="inlineStr">
        <is>
          <t>com.logistics.rider.efood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7</v>
      </c>
      <c r="AC272" s="4" t="inlineStr">
        <is>
          <t>2026-07-30</t>
        </is>
      </c>
      <c r="AD272" s="4" t="inlineStr">
        <is>
          <t>com.logistics.rider.foody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432</v>
      </c>
      <c r="AC273" s="7" t="inlineStr">
        <is>
          <t>2026-07-31</t>
        </is>
      </c>
      <c r="AD273" s="7" t="inlineStr">
        <is>
          <t>com.logistics.rider.foodpanda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48</v>
      </c>
      <c r="AC274" s="4" t="inlineStr">
        <is>
          <t>2026-07-31</t>
        </is>
      </c>
      <c r="AD274" s="4" t="inlineStr">
        <is>
          <t>com.logistics.rider.foodora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186</v>
      </c>
      <c r="AC275" s="7" t="inlineStr">
        <is>
          <t>2026-07-31</t>
        </is>
      </c>
      <c r="AD275" s="7" t="inlineStr">
        <is>
          <t>com.logistics.rider.talabat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60</v>
      </c>
      <c r="AC276" s="4" t="inlineStr">
        <is>
          <t>2026-07-31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53</v>
      </c>
      <c r="AC277" s="7" t="inlineStr">
        <is>
          <t>2026-07-31</t>
        </is>
      </c>
      <c r="AD277" s="7" t="inlineStr">
        <is>
          <t>com.logistics.rider.hungerstation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193</v>
      </c>
      <c r="AC278" s="4" t="inlineStr">
        <is>
          <t>2026-07-31</t>
        </is>
      </c>
      <c r="AD278" s="4" t="inlineStr">
        <is>
          <t>com.logistics.rider.glovo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1</v>
      </c>
      <c r="AC279" s="7" t="inlineStr">
        <is>
          <t>2026-07-31</t>
        </is>
      </c>
      <c r="AD279" s="7" t="inlineStr">
        <is>
          <t>com.logistics.rider.woowabros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11</v>
      </c>
      <c r="AC280" s="4" t="inlineStr">
        <is>
          <t>2026-07-31</t>
        </is>
      </c>
      <c r="AD280" s="4" t="inlineStr">
        <is>
          <t>com.logistics.rider.efood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2</v>
      </c>
      <c r="AC281" s="7" t="inlineStr">
        <is>
          <t>2026-07-31</t>
        </is>
      </c>
      <c r="AD28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2026-08-01T15:15:21Z</dcterms:created>
  <dcterms:modified xsi:type="dcterms:W3CDTF">2026-08-01T15:15:21Z</dcterms:modified>
</cp:coreProperties>
</file>