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40.3" sheetId="3" state="visible" r:id="rId3"/>
    <sheet name="v4.2640.3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4.3</v>
      </c>
      <c r="F2" s="4" t="n">
        <v>1.09</v>
      </c>
      <c r="G2" s="4" t="n">
        <v>3.2</v>
      </c>
      <c r="H2" s="4" t="n">
        <v>0.93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4.3</v>
      </c>
      <c r="F3" s="7" t="n">
        <v>1.09</v>
      </c>
      <c r="G3" s="7" t="n">
        <v>3.2</v>
      </c>
      <c r="H3" s="7" t="n">
        <v>0.93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4.3</v>
      </c>
      <c r="F4" s="4" t="n">
        <v>1.09</v>
      </c>
      <c r="G4" s="4" t="n">
        <v>3.2</v>
      </c>
      <c r="H4" s="4" t="n">
        <v>0.93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4.3</v>
      </c>
      <c r="F5" s="7" t="n">
        <v>1.09</v>
      </c>
      <c r="G5" s="7" t="n">
        <v>3.2</v>
      </c>
      <c r="H5" s="7" t="n">
        <v>0.93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4.3</v>
      </c>
      <c r="F6" s="4" t="n">
        <v>1.09</v>
      </c>
      <c r="G6" s="4" t="n">
        <v>3.2</v>
      </c>
      <c r="H6" s="4" t="n">
        <v>0.93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4.3</v>
      </c>
      <c r="F7" s="7" t="n">
        <v>1.09</v>
      </c>
      <c r="G7" s="7" t="n">
        <v>3.2</v>
      </c>
      <c r="H7" s="7" t="n">
        <v>0.93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4.3</v>
      </c>
      <c r="F8" s="4" t="n">
        <v>1.09</v>
      </c>
      <c r="G8" s="4" t="n">
        <v>3.2</v>
      </c>
      <c r="H8" s="4" t="n">
        <v>0.93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4.3</v>
      </c>
      <c r="F9" s="7" t="n">
        <v>1.09</v>
      </c>
      <c r="G9" s="7" t="n">
        <v>3.2</v>
      </c>
      <c r="H9" s="7" t="n">
        <v>0.93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4.3</v>
      </c>
      <c r="F10" s="4" t="n">
        <v>1.09</v>
      </c>
      <c r="G10" s="4" t="n">
        <v>3.2</v>
      </c>
      <c r="H10" s="4" t="n">
        <v>0.93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4.3</v>
      </c>
      <c r="F11" s="7" t="n">
        <v>1.09</v>
      </c>
      <c r="G11" s="7" t="n">
        <v>3.2</v>
      </c>
      <c r="H11" s="7" t="n">
        <v>0.93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9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76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9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1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5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7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68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12</v>
      </c>
      <c r="Y14" s="4" t="inlineStr">
        <is>
          <t>2026-10-01</t>
        </is>
      </c>
      <c r="Z14" s="4" t="inlineStr">
        <is>
          <t>com.logistics.rider.foodora</t>
        </is>
      </c>
      <c r="AB14" s="4" t="n">
        <v>151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1</v>
      </c>
      <c r="Y15" s="7" t="inlineStr">
        <is>
          <t>2026-10-02</t>
        </is>
      </c>
      <c r="Z15" s="7" t="inlineStr">
        <is>
          <t>com.logistics.rider.foodora</t>
        </is>
      </c>
      <c r="AB15" s="7" t="n">
        <v>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12</v>
      </c>
      <c r="Y16" s="4" t="inlineStr">
        <is>
          <t>2026-10-02</t>
        </is>
      </c>
      <c r="Z16" s="4" t="inlineStr">
        <is>
          <t>com.logistics.rider.foodora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12</v>
      </c>
      <c r="Y17" s="7" t="inlineStr">
        <is>
          <t>2026-10-03</t>
        </is>
      </c>
      <c r="Z17" s="7" t="inlineStr">
        <is>
          <t>com.logistics.rider.foodora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7</v>
      </c>
      <c r="Y18" s="4" t="inlineStr">
        <is>
          <t>2026-10-04</t>
        </is>
      </c>
      <c r="Z18" s="4" t="inlineStr">
        <is>
          <t>com.logistics.rider.foodora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8</v>
      </c>
      <c r="Y19" s="7" t="inlineStr">
        <is>
          <t>2026-10-05</t>
        </is>
      </c>
      <c r="Z19" s="7" t="inlineStr">
        <is>
          <t>com.logistics.rider.foodora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7</v>
      </c>
      <c r="Y20" s="4" t="inlineStr">
        <is>
          <t>2026-10-06</t>
        </is>
      </c>
      <c r="Z20" s="4" t="inlineStr">
        <is>
          <t>com.logistics.rider.foodora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</v>
      </c>
      <c r="Y21" s="7" t="inlineStr">
        <is>
          <t>2026-10-01</t>
        </is>
      </c>
      <c r="Z21" s="7" t="inlineStr">
        <is>
          <t>com.logistics.rider.talabat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38</v>
      </c>
      <c r="Y22" s="4" t="inlineStr">
        <is>
          <t>2026-10-01</t>
        </is>
      </c>
      <c r="Z22" s="4" t="inlineStr">
        <is>
          <t>com.logistics.rider.talabat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</v>
      </c>
      <c r="Y23" s="7" t="inlineStr">
        <is>
          <t>2026-10-01</t>
        </is>
      </c>
      <c r="Z23" s="7" t="inlineStr">
        <is>
          <t>com.logistics.rider.talabat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2</v>
      </c>
      <c r="Y24" s="4" t="inlineStr">
        <is>
          <t>2026-10-02</t>
        </is>
      </c>
      <c r="Z24" s="4" t="inlineStr">
        <is>
          <t>com.logistics.rider.talabat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</v>
      </c>
      <c r="Y25" s="7" t="inlineStr">
        <is>
          <t>2026-10-02</t>
        </is>
      </c>
      <c r="Z25" s="7" t="inlineStr">
        <is>
          <t>com.logistics.rider.talabat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36</v>
      </c>
      <c r="Y26" s="4" t="inlineStr">
        <is>
          <t>2026-10-02</t>
        </is>
      </c>
      <c r="Z26" s="4" t="inlineStr">
        <is>
          <t>com.logistics.rider.talabat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36</v>
      </c>
      <c r="Y27" s="7" t="inlineStr">
        <is>
          <t>2026-10-03</t>
        </is>
      </c>
      <c r="Z27" s="7" t="inlineStr">
        <is>
          <t>com.logistics.rider.talabat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</v>
      </c>
      <c r="Y28" s="4" t="inlineStr">
        <is>
          <t>2026-10-04</t>
        </is>
      </c>
      <c r="Z28" s="4" t="inlineStr">
        <is>
          <t>com.logistics.rider.talabat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30</v>
      </c>
      <c r="Y29" s="7" t="inlineStr">
        <is>
          <t>2026-10-04</t>
        </is>
      </c>
      <c r="Z29" s="7" t="inlineStr">
        <is>
          <t>com.logistics.rider.talabat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2</v>
      </c>
      <c r="Y30" s="4" t="inlineStr">
        <is>
          <t>2026-10-05</t>
        </is>
      </c>
      <c r="Z30" s="4" t="inlineStr">
        <is>
          <t>com.logistics.rider.talabat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2026-10-05</t>
        </is>
      </c>
      <c r="Z31" s="7" t="inlineStr">
        <is>
          <t>com.logistics.rider.talabat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34</v>
      </c>
      <c r="Y32" s="4" t="inlineStr">
        <is>
          <t>2026-10-05</t>
        </is>
      </c>
      <c r="Z32" s="4" t="inlineStr">
        <is>
          <t>com.logistics.rider.talabat</t>
        </is>
      </c>
      <c r="AB32" s="4" t="n">
        <v>16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</v>
      </c>
      <c r="Y33" s="7" t="inlineStr">
        <is>
          <t>2026-10-06</t>
        </is>
      </c>
      <c r="Z33" s="7" t="inlineStr">
        <is>
          <t>com.logistics.rider.talabat</t>
        </is>
      </c>
      <c r="AB33" s="7" t="n">
        <v>1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AVERAGE(D2:D7)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AVERAGE(H2:H7)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41</v>
      </c>
      <c r="Y34" s="4" t="inlineStr">
        <is>
          <t>2026-10-06</t>
        </is>
      </c>
      <c r="Z34" s="4" t="inlineStr">
        <is>
          <t>com.logistics.rider.talabat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12</v>
      </c>
      <c r="Y35" s="7" t="inlineStr">
        <is>
          <t>2026-10-01</t>
        </is>
      </c>
      <c r="Z35" s="7" t="inlineStr">
        <is>
          <t>com.logistics.rider.pedidosya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23</v>
      </c>
      <c r="Y36" s="4" t="inlineStr">
        <is>
          <t>2026-10-02</t>
        </is>
      </c>
      <c r="Z36" s="4" t="inlineStr">
        <is>
          <t>com.logistics.rider.pedidosya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26</v>
      </c>
      <c r="Y37" s="7" t="inlineStr">
        <is>
          <t>2026-10-03</t>
        </is>
      </c>
      <c r="Z37" s="7" t="inlineStr">
        <is>
          <t>com.logistics.rider.pedidosya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1</v>
      </c>
      <c r="Y38" s="4" t="inlineStr">
        <is>
          <t>2026-10-03</t>
        </is>
      </c>
      <c r="Z38" s="4" t="inlineStr">
        <is>
          <t>com.logistics.rider.pedidosya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14</v>
      </c>
      <c r="Y39" s="7" t="inlineStr">
        <is>
          <t>2026-10-04</t>
        </is>
      </c>
      <c r="Z39" s="7" t="inlineStr">
        <is>
          <t>com.logistics.rider.pedidosya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</v>
      </c>
      <c r="Y40" s="4" t="inlineStr">
        <is>
          <t>2026-10-04</t>
        </is>
      </c>
      <c r="Z40" s="4" t="inlineStr">
        <is>
          <t>com.logistics.rider.pedidosya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17</v>
      </c>
      <c r="Y41" s="7" t="inlineStr">
        <is>
          <t>2026-10-05</t>
        </is>
      </c>
      <c r="Z41" s="7" t="inlineStr">
        <is>
          <t>com.logistics.rider.pedidosya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18</v>
      </c>
      <c r="Y42" s="4" t="inlineStr">
        <is>
          <t>2026-10-06</t>
        </is>
      </c>
      <c r="Z42" s="4" t="inlineStr">
        <is>
          <t>com.logistics.rider.pedidosya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6</v>
      </c>
      <c r="Y43" s="7" t="inlineStr">
        <is>
          <t>2026-10-01</t>
        </is>
      </c>
      <c r="Z43" s="7" t="inlineStr">
        <is>
          <t>com.logistics.rider.hungerstation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1</v>
      </c>
      <c r="Y44" s="4" t="inlineStr">
        <is>
          <t>2026-10-01</t>
        </is>
      </c>
      <c r="Z44" s="4" t="inlineStr">
        <is>
          <t>com.logistics.rider.hungerstation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17</v>
      </c>
      <c r="Y45" s="7" t="inlineStr">
        <is>
          <t>2026-10-01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1</v>
      </c>
      <c r="Y46" s="4" t="inlineStr">
        <is>
          <t>2026-10-02</t>
        </is>
      </c>
      <c r="Z46" s="4" t="inlineStr">
        <is>
          <t>com.logistics.rider.hungerstation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2</v>
      </c>
      <c r="Y47" s="7" t="inlineStr">
        <is>
          <t>2026-10-02</t>
        </is>
      </c>
      <c r="Z47" s="7" t="inlineStr">
        <is>
          <t>com.logistics.rider.hungerstation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21</v>
      </c>
      <c r="Y48" s="4" t="inlineStr">
        <is>
          <t>2026-10-02</t>
        </is>
      </c>
      <c r="Z48" s="4" t="inlineStr">
        <is>
          <t>com.logistics.rider.hungerstation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4</v>
      </c>
      <c r="Y49" s="7" t="inlineStr">
        <is>
          <t>2026-10-03</t>
        </is>
      </c>
      <c r="Z49" s="7" t="inlineStr">
        <is>
          <t>com.logistics.rider.hungerstation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24</v>
      </c>
      <c r="Y50" s="4" t="inlineStr">
        <is>
          <t>2026-10-03</t>
        </is>
      </c>
      <c r="Z50" s="4" t="inlineStr">
        <is>
          <t>com.logistics.rider.hungerstation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2</v>
      </c>
      <c r="Y51" s="7" t="inlineStr">
        <is>
          <t>2026-10-04</t>
        </is>
      </c>
      <c r="Z51" s="7" t="inlineStr">
        <is>
          <t>com.logistics.rider.hungerstation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18</v>
      </c>
      <c r="Y52" s="4" t="inlineStr">
        <is>
          <t>2026-10-04</t>
        </is>
      </c>
      <c r="Z52" s="4" t="inlineStr">
        <is>
          <t>com.logistics.rider.hungerstation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6</v>
      </c>
      <c r="Y53" s="7" t="inlineStr">
        <is>
          <t>2026-10-05</t>
        </is>
      </c>
      <c r="Z53" s="7" t="inlineStr">
        <is>
          <t>com.logistics.rider.hungerstation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16</v>
      </c>
      <c r="Y54" s="4" t="inlineStr">
        <is>
          <t>2026-10-05</t>
        </is>
      </c>
      <c r="Z54" s="4" t="inlineStr">
        <is>
          <t>com.logistics.rider.hungerstation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1</v>
      </c>
      <c r="Y55" s="7" t="inlineStr">
        <is>
          <t>2026-10-06</t>
        </is>
      </c>
      <c r="Z55" s="7" t="inlineStr">
        <is>
          <t>com.logistics.rider.hungerstation</t>
        </is>
      </c>
      <c r="AB55" s="7" t="n">
        <v>9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21</v>
      </c>
      <c r="Y56" s="4" t="inlineStr">
        <is>
          <t>2026-10-06</t>
        </is>
      </c>
      <c r="Z56" s="4" t="inlineStr">
        <is>
          <t>com.logistics.rider.hungerstation</t>
        </is>
      </c>
      <c r="AB56" s="4" t="n">
        <v>140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</v>
      </c>
      <c r="Y57" s="7" t="inlineStr">
        <is>
          <t>2026-10-01</t>
        </is>
      </c>
      <c r="Z57" s="7" t="inlineStr">
        <is>
          <t>com.logistics.rider.yemeksepeti</t>
        </is>
      </c>
      <c r="AB57" s="7" t="n">
        <v>66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3</v>
      </c>
      <c r="Y58" s="4" t="inlineStr">
        <is>
          <t>2026-10-01</t>
        </is>
      </c>
      <c r="Z58" s="4" t="inlineStr">
        <is>
          <t>com.logistics.rider.glovo</t>
        </is>
      </c>
      <c r="AB58" s="4" t="n">
        <v>2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52</v>
      </c>
      <c r="Y59" s="7" t="inlineStr">
        <is>
          <t>2026-10-01</t>
        </is>
      </c>
      <c r="Z59" s="7" t="inlineStr">
        <is>
          <t>com.logistics.rider.glovo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38</v>
      </c>
      <c r="Y60" s="4" t="inlineStr">
        <is>
          <t>2026-10-02</t>
        </is>
      </c>
      <c r="Z60" s="4" t="inlineStr">
        <is>
          <t>com.logistics.rider.glovo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3</v>
      </c>
      <c r="Y61" s="7" t="inlineStr">
        <is>
          <t>2026-10-02</t>
        </is>
      </c>
      <c r="Z61" s="7" t="inlineStr">
        <is>
          <t>com.logistics.rider.glovo</t>
        </is>
      </c>
      <c r="AB61" s="7" t="n">
        <v>161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58</v>
      </c>
      <c r="Y62" s="4" t="inlineStr">
        <is>
          <t>2026-10-03</t>
        </is>
      </c>
      <c r="Z62" s="4" t="inlineStr">
        <is>
          <t>com.logistics.rider.glovo</t>
        </is>
      </c>
      <c r="AB62" s="4" t="n">
        <v>12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1</v>
      </c>
      <c r="Y63" s="7" t="inlineStr">
        <is>
          <t>2026-10-03</t>
        </is>
      </c>
      <c r="Z63" s="7" t="inlineStr">
        <is>
          <t>com.logistics.rider.glovo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52</v>
      </c>
      <c r="Y64" s="4" t="inlineStr">
        <is>
          <t>2026-10-04</t>
        </is>
      </c>
      <c r="Z64" s="4" t="inlineStr">
        <is>
          <t>com.logistics.rider.glovo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2</v>
      </c>
      <c r="Y65" s="7" t="inlineStr">
        <is>
          <t>2026-10-04</t>
        </is>
      </c>
      <c r="Z65" s="7" t="inlineStr">
        <is>
          <t>com.logistics.rider.glovo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5</v>
      </c>
      <c r="Y66" s="4" t="inlineStr">
        <is>
          <t>2026-10-05</t>
        </is>
      </c>
      <c r="Z66" s="4" t="inlineStr">
        <is>
          <t>com.logistics.rider.glovo</t>
        </is>
      </c>
      <c r="AB66" s="4" t="n">
        <v>27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1</v>
      </c>
      <c r="Y67" s="7" t="inlineStr">
        <is>
          <t>2026-10-05</t>
        </is>
      </c>
      <c r="Z67" s="7" t="inlineStr">
        <is>
          <t>com.logistics.rider.glovo</t>
        </is>
      </c>
      <c r="AB67" s="7" t="n">
        <v>260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37</v>
      </c>
      <c r="Y68" s="4" t="inlineStr">
        <is>
          <t>2026-10-05</t>
        </is>
      </c>
      <c r="Z68" s="4" t="inlineStr">
        <is>
          <t>com.logistics.rider.glovo</t>
        </is>
      </c>
      <c r="AB68" s="4" t="n">
        <v>23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4</v>
      </c>
      <c r="Y69" s="7" t="inlineStr">
        <is>
          <t>2026-10-06</t>
        </is>
      </c>
      <c r="Z69" s="7" t="inlineStr">
        <is>
          <t>com.logistics.rider.glovo</t>
        </is>
      </c>
      <c r="AB69" s="7" t="n">
        <v>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49</v>
      </c>
      <c r="Y70" s="4" t="inlineStr">
        <is>
          <t>2026-10-06</t>
        </is>
      </c>
      <c r="Z70" s="4" t="inlineStr">
        <is>
          <t>com.logistics.rider.glovo</t>
        </is>
      </c>
      <c r="AB70" s="4" t="n">
        <v>6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</v>
      </c>
      <c r="Y71" s="7" t="inlineStr">
        <is>
          <t>2026-10-02</t>
        </is>
      </c>
      <c r="Z71" s="7" t="inlineStr">
        <is>
          <t>com.logistics.rider.woowabros</t>
        </is>
      </c>
      <c r="AB71" s="7" t="n">
        <v>109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1</v>
      </c>
      <c r="Y72" s="4" t="inlineStr">
        <is>
          <t>2026-10-05</t>
        </is>
      </c>
      <c r="Z72" s="4" t="inlineStr">
        <is>
          <t>com.logistics.rider.woowabros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1</v>
      </c>
      <c r="Y73" s="7" t="inlineStr">
        <is>
          <t>2026-10-06</t>
        </is>
      </c>
      <c r="Z73" s="7" t="inlineStr">
        <is>
          <t>com.logistics.rider.woowabros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6</v>
      </c>
      <c r="Y74" s="4" t="inlineStr">
        <is>
          <t>2026-10-01</t>
        </is>
      </c>
      <c r="Z74" s="4" t="inlineStr">
        <is>
          <t>com.logistics.rider.efood</t>
        </is>
      </c>
      <c r="AB74" s="4" t="n">
        <v>10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12</v>
      </c>
      <c r="Y75" s="7" t="inlineStr">
        <is>
          <t>2026-10-02</t>
        </is>
      </c>
      <c r="Z75" s="7" t="inlineStr">
        <is>
          <t>com.logistics.rider.efood</t>
        </is>
      </c>
      <c r="AB75" s="7" t="n">
        <v>47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1</v>
      </c>
      <c r="Y76" s="4" t="inlineStr">
        <is>
          <t>2026-10-03</t>
        </is>
      </c>
      <c r="Z76" s="4" t="inlineStr">
        <is>
          <t>com.logistics.rider.efood</t>
        </is>
      </c>
      <c r="AB76" s="4" t="n">
        <v>11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5</v>
      </c>
      <c r="Y77" s="7" t="inlineStr">
        <is>
          <t>2026-10-03</t>
        </is>
      </c>
      <c r="Z77" s="7" t="inlineStr">
        <is>
          <t>com.logistics.rider.efood</t>
        </is>
      </c>
      <c r="AB77" s="7" t="n">
        <v>142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5</v>
      </c>
      <c r="Y78" s="4" t="inlineStr">
        <is>
          <t>2026-10-04</t>
        </is>
      </c>
      <c r="Z78" s="4" t="inlineStr">
        <is>
          <t>com.logistics.rider.efood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1</v>
      </c>
      <c r="Y79" s="7" t="inlineStr">
        <is>
          <t>2026-10-04</t>
        </is>
      </c>
      <c r="Z79" s="7" t="inlineStr">
        <is>
          <t>com.logistics.rider.efood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9</v>
      </c>
      <c r="Y80" s="4" t="inlineStr">
        <is>
          <t>2026-10-05</t>
        </is>
      </c>
      <c r="Z80" s="4" t="inlineStr">
        <is>
          <t>com.logistics.rider.efood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8</v>
      </c>
      <c r="Y81" s="7" t="inlineStr">
        <is>
          <t>2026-10-06</t>
        </is>
      </c>
      <c r="Z81" s="7" t="inlineStr">
        <is>
          <t>com.logistics.rider.efood</t>
        </is>
      </c>
      <c r="AB81" s="7" t="n">
        <v>291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4</v>
      </c>
      <c r="Y82" s="4" t="inlineStr">
        <is>
          <t>2026-10-01</t>
        </is>
      </c>
      <c r="Z82" s="4" t="inlineStr">
        <is>
          <t>com.logistics.rider.foody</t>
        </is>
      </c>
      <c r="AB82" s="4" t="n">
        <v>23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1</v>
      </c>
      <c r="Y83" s="7" t="inlineStr">
        <is>
          <t>2026-10-04</t>
        </is>
      </c>
      <c r="Z83" s="7" t="inlineStr">
        <is>
          <t>com.logistics.rider.foody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1</v>
      </c>
      <c r="Y84" s="4" t="inlineStr">
        <is>
          <t>2026-10-05</t>
        </is>
      </c>
      <c r="Z84" s="4" t="inlineStr">
        <is>
          <t>com.logistics.rider.foody</t>
        </is>
      </c>
      <c r="AB84" s="4" t="n">
        <v>5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/>
      <c r="Y85" s="7" t="n"/>
      <c r="Z85" s="7" t="n"/>
      <c r="AB85" s="7" t="n">
        <v>142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/>
      <c r="Y86" s="4" t="n"/>
      <c r="Z86" s="4" t="n"/>
      <c r="AB86" s="4" t="n">
        <v>60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/>
      <c r="Y87" s="7" t="n"/>
      <c r="Z87" s="7" t="n"/>
      <c r="AB87" s="7" t="n">
        <v>3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/>
      <c r="Y88" s="4" t="n"/>
      <c r="Z88" s="4" t="n"/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/>
      <c r="Y89" s="7" t="n"/>
      <c r="Z89" s="7" t="n"/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/>
      <c r="Y90" s="4" t="n"/>
      <c r="Z90" s="4" t="n"/>
      <c r="AB90" s="4" t="n">
        <v>174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/>
      <c r="Y91" s="7" t="n"/>
      <c r="Z91" s="7" t="n"/>
      <c r="AB91" s="7" t="n">
        <v>13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/>
      <c r="Y92" s="4" t="n"/>
      <c r="Z92" s="4" t="n"/>
      <c r="AB92" s="4" t="n">
        <v>1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/>
      <c r="Y93" s="7" t="n"/>
      <c r="Z93" s="7" t="n"/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/>
      <c r="Y94" s="4" t="n"/>
      <c r="Z94" s="4" t="n"/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/>
      <c r="Y95" s="7" t="n"/>
      <c r="Z95" s="7" t="n"/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2026-10-01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ROUND(MAX(0,MIN(100,(1-E2/IF(D2&gt;0,D2,SUMIFS(Consolidation!$M:$M,Consolidation!$A:$A,"*"&amp;$B$10&amp;"*")/31))*100)),2)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ROUND(MAX(0,MIN(100,100*(1-K2/IF(D2&gt;0,D2,SUMIFS(Consolidation!$M:$M,Consolidation!$A:$A,"*"&amp;$B$10&amp;"*")/31)))),2)</f>
        <v/>
      </c>
      <c r="M2">
        <f>MAX(0,(L2-$B$6)/($B$7-$B$6)*$B$8)</f>
        <v/>
      </c>
      <c r="N2">
        <f>$B$2+H2+M2</f>
        <v/>
      </c>
      <c r="X2" t="n">
        <v>3</v>
      </c>
      <c r="Y2" t="inlineStr">
        <is>
          <t>2026-10-01</t>
        </is>
      </c>
      <c r="Z2" t="inlineStr">
        <is>
          <t>com.logistics.rider.foodpanda</t>
        </is>
      </c>
      <c r="AB2" t="n">
        <v>16</v>
      </c>
      <c r="AC2" t="inlineStr">
        <is>
          <t>2026-10-01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2026-10-02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ROUND(MAX(0,MIN(100,(1-E3/IF(D3&gt;0,D3,SUMIFS(Consolidation!$M:$M,Consolidation!$A:$A,"*"&amp;$B$10&amp;"*")/31))*100)),2)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ROUND(MAX(0,MIN(100,100*(1-K3/IF(D3&gt;0,D3,SUMIFS(Consolidation!$M:$M,Consolidation!$A:$A,"*"&amp;$B$10&amp;"*")/31)))),2)</f>
        <v/>
      </c>
      <c r="M3">
        <f>MAX(0,(L3-$B$6)/($B$7-$B$6)*$B$8)</f>
        <v/>
      </c>
      <c r="N3">
        <f>$B$2+H3+M3</f>
        <v/>
      </c>
      <c r="X3" t="n">
        <v>15</v>
      </c>
      <c r="Y3" t="inlineStr">
        <is>
          <t>2026-10-02</t>
        </is>
      </c>
      <c r="Z3" t="inlineStr">
        <is>
          <t>com.logistics.rider.foodpanda</t>
        </is>
      </c>
      <c r="AB3" t="n">
        <v>6</v>
      </c>
      <c r="AC3" t="inlineStr">
        <is>
          <t>2026-10-01</t>
        </is>
      </c>
      <c r="AD3" t="inlineStr">
        <is>
          <t>com.logistics.rider.foodora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2026-10-03</t>
        </is>
      </c>
      <c r="D4">
        <f>SUMIFS(V:V,U:U,"*"&amp;$B$10&amp;"*",T:T,C4)</f>
        <v/>
      </c>
      <c r="E4">
        <f>SUMIFS(X:X,Z:Z,"*"&amp;$B$10&amp;"*",Y:Y,C4)</f>
        <v/>
      </c>
      <c r="G4">
        <f>ROUND(MAX(0,MIN(100,(1-E4/IF(D4&gt;0,D4,SUMIFS(Consolidation!$M:$M,Consolidation!$A:$A,"*"&amp;$B$10&amp;"*")/31))*100)),2)</f>
        <v/>
      </c>
      <c r="H4">
        <f>MIN(1,(G4-$B$3)/($B$4-$B$3))*$B$1</f>
        <v/>
      </c>
      <c r="K4">
        <f>SUMIFS(AB:AB,AD:AD,"*"&amp;$B$10&amp;"*",AC:AC,C4)</f>
        <v/>
      </c>
      <c r="L4">
        <f>ROUND(MAX(0,MIN(100,100*(1-K4/IF(D4&gt;0,D4,SUMIFS(Consolidation!$M:$M,Consolidation!$A:$A,"*"&amp;$B$10&amp;"*")/31)))),2)</f>
        <v/>
      </c>
      <c r="M4">
        <f>MAX(0,(L4-$B$6)/($B$7-$B$6)*$B$8)</f>
        <v/>
      </c>
      <c r="N4">
        <f>$B$2+H4+M4</f>
        <v/>
      </c>
      <c r="X4" t="n">
        <v>29</v>
      </c>
      <c r="Y4" t="inlineStr">
        <is>
          <t>2026-10-03</t>
        </is>
      </c>
      <c r="Z4" t="inlineStr">
        <is>
          <t>com.logistics.rider.foodpanda</t>
        </is>
      </c>
      <c r="AB4" t="n">
        <v>9</v>
      </c>
      <c r="AC4" t="inlineStr">
        <is>
          <t>2026-10-01</t>
        </is>
      </c>
      <c r="AD4" t="inlineStr">
        <is>
          <t>com.logistics.rider.talabat</t>
        </is>
      </c>
    </row>
    <row r="5">
      <c r="C5" t="inlineStr">
        <is>
          <t>2026-10-04</t>
        </is>
      </c>
      <c r="D5">
        <f>SUMIFS(V:V,U:U,"*"&amp;$B$10&amp;"*",T:T,C5)</f>
        <v/>
      </c>
      <c r="E5">
        <f>SUMIFS(X:X,Z:Z,"*"&amp;$B$10&amp;"*",Y:Y,C5)</f>
        <v/>
      </c>
      <c r="G5">
        <f>ROUND(MAX(0,MIN(100,(1-E5/IF(D5&gt;0,D5,SUMIFS(Consolidation!$M:$M,Consolidation!$A:$A,"*"&amp;$B$10&amp;"*")/31))*100)),2)</f>
        <v/>
      </c>
      <c r="H5">
        <f>MIN(1,(G5-$B$3)/($B$4-$B$3))*$B$1</f>
        <v/>
      </c>
      <c r="K5">
        <f>SUMIFS(AB:AB,AD:AD,"*"&amp;$B$10&amp;"*",AC:AC,C5)</f>
        <v/>
      </c>
      <c r="L5">
        <f>ROUND(MAX(0,MIN(100,100*(1-K5/IF(D5&gt;0,D5,SUMIFS(Consolidation!$M:$M,Consolidation!$A:$A,"*"&amp;$B$10&amp;"*")/31)))),2)</f>
        <v/>
      </c>
      <c r="M5">
        <f>MAX(0,(L5-$B$6)/($B$7-$B$6)*$B$8)</f>
        <v/>
      </c>
      <c r="N5">
        <f>$B$2+H5+M5</f>
        <v/>
      </c>
      <c r="X5" t="n">
        <v>42</v>
      </c>
      <c r="Y5" t="inlineStr">
        <is>
          <t>2026-10-04</t>
        </is>
      </c>
      <c r="Z5" t="inlineStr">
        <is>
          <t>com.logistics.rider.foodpanda</t>
        </is>
      </c>
      <c r="AB5" t="n">
        <v>3</v>
      </c>
      <c r="AC5" t="inlineStr">
        <is>
          <t>2026-10-01</t>
        </is>
      </c>
      <c r="AD5" t="inlineStr">
        <is>
          <t>com.logistics.rider.pedidosya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2026-10-05</t>
        </is>
      </c>
      <c r="D6">
        <f>SUMIFS(V:V,U:U,"*"&amp;$B$10&amp;"*",T:T,C6)</f>
        <v/>
      </c>
      <c r="E6">
        <f>SUMIFS(X:X,Z:Z,"*"&amp;$B$10&amp;"*",Y:Y,C6)</f>
        <v/>
      </c>
      <c r="G6">
        <f>ROUND(MAX(0,MIN(100,(1-E6/IF(D6&gt;0,D6,SUMIFS(Consolidation!$M:$M,Consolidation!$A:$A,"*"&amp;$B$10&amp;"*")/31))*100)),2)</f>
        <v/>
      </c>
      <c r="H6">
        <f>MIN(1,(G6-$B$3)/($B$4-$B$3))*$B$1</f>
        <v/>
      </c>
      <c r="K6">
        <f>SUMIFS(AB:AB,AD:AD,"*"&amp;$B$10&amp;"*",AC:AC,C6)</f>
        <v/>
      </c>
      <c r="L6">
        <f>ROUND(MAX(0,MIN(100,100*(1-K6/IF(D6&gt;0,D6,SUMIFS(Consolidation!$M:$M,Consolidation!$A:$A,"*"&amp;$B$10&amp;"*")/31)))),2)</f>
        <v/>
      </c>
      <c r="M6">
        <f>MAX(0,(L6-$B$6)/($B$7-$B$6)*$B$8)</f>
        <v/>
      </c>
      <c r="N6">
        <f>$B$2+H6+M6</f>
        <v/>
      </c>
      <c r="X6" t="n">
        <v>20</v>
      </c>
      <c r="Y6" t="inlineStr">
        <is>
          <t>2026-10-05</t>
        </is>
      </c>
      <c r="Z6" t="inlineStr">
        <is>
          <t>com.logistics.rider.foodpanda</t>
        </is>
      </c>
      <c r="AB6" t="n">
        <v>8</v>
      </c>
      <c r="AC6" t="inlineStr">
        <is>
          <t>2026-10-01</t>
        </is>
      </c>
      <c r="AD6" t="inlineStr">
        <is>
          <t>com.logistics.rider.hungerstation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2026-10-06</t>
        </is>
      </c>
      <c r="D7">
        <f>SUMIFS(V:V,U:U,"*"&amp;$B$10&amp;"*",T:T,C7)</f>
        <v/>
      </c>
      <c r="E7">
        <f>SUMIFS(X:X,Z:Z,"*"&amp;$B$10&amp;"*",Y:Y,C7)</f>
        <v/>
      </c>
      <c r="G7">
        <f>ROUND(MAX(0,MIN(100,(1-E7/IF(D7&gt;0,D7,SUMIFS(Consolidation!$M:$M,Consolidation!$A:$A,"*"&amp;$B$10&amp;"*")/31))*100)),2)</f>
        <v/>
      </c>
      <c r="H7">
        <f>MIN(1,(G7-$B$3)/($B$4-$B$3))*$B$1</f>
        <v/>
      </c>
      <c r="K7">
        <f>SUMIFS(AB:AB,AD:AD,"*"&amp;$B$10&amp;"*",AC:AC,C7)</f>
        <v/>
      </c>
      <c r="L7">
        <f>ROUND(MAX(0,MIN(100,100*(1-K7/IF(D7&gt;0,D7,SUMIFS(Consolidation!$M:$M,Consolidation!$A:$A,"*"&amp;$B$10&amp;"*")/31)))),2)</f>
        <v/>
      </c>
      <c r="M7">
        <f>MAX(0,(L7-$B$6)/($B$7-$B$6)*$B$8)</f>
        <v/>
      </c>
      <c r="N7">
        <f>$B$2+H7+M7</f>
        <v/>
      </c>
      <c r="X7" t="n">
        <v>31</v>
      </c>
      <c r="Y7" t="inlineStr">
        <is>
          <t>2026-10-06</t>
        </is>
      </c>
      <c r="Z7" t="inlineStr">
        <is>
          <t>com.logistics.rider.foodpanda</t>
        </is>
      </c>
      <c r="AB7" t="n">
        <v>15</v>
      </c>
      <c r="AC7" t="inlineStr">
        <is>
          <t>2026-10-01</t>
        </is>
      </c>
      <c r="AD7" t="inlineStr">
        <is>
          <t>com.logistics.rider.glovo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2026-10-07</t>
        </is>
      </c>
      <c r="X8" t="n">
        <v>3</v>
      </c>
      <c r="Y8" t="inlineStr">
        <is>
          <t>2026-10-02</t>
        </is>
      </c>
      <c r="Z8" t="inlineStr">
        <is>
          <t>com.logistics.rider.foodora</t>
        </is>
      </c>
      <c r="AB8" t="n">
        <v>1</v>
      </c>
      <c r="AC8" t="inlineStr">
        <is>
          <t>2026-10-01</t>
        </is>
      </c>
      <c r="AD8" t="inlineStr">
        <is>
          <t>com.logistics.rider.efood</t>
        </is>
      </c>
    </row>
    <row r="9">
      <c r="C9" t="inlineStr">
        <is>
          <t>2026-10-08</t>
        </is>
      </c>
      <c r="X9" t="n">
        <v>6</v>
      </c>
      <c r="Y9" t="inlineStr">
        <is>
          <t>2026-10-03</t>
        </is>
      </c>
      <c r="Z9" t="inlineStr">
        <is>
          <t>com.logistics.rider.foodora</t>
        </is>
      </c>
      <c r="AB9" t="n">
        <v>2</v>
      </c>
      <c r="AC9" t="inlineStr">
        <is>
          <t>2026-10-01</t>
        </is>
      </c>
      <c r="AD9" t="inlineStr">
        <is>
          <t>com.logistics.rider.foody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2026-10-09</t>
        </is>
      </c>
      <c r="X10" t="n">
        <v>4</v>
      </c>
      <c r="Y10" t="inlineStr">
        <is>
          <t>2026-10-04</t>
        </is>
      </c>
      <c r="Z10" t="inlineStr">
        <is>
          <t>com.logistics.rider.foodora</t>
        </is>
      </c>
      <c r="AB10" t="n">
        <v>46</v>
      </c>
      <c r="AC10" t="inlineStr">
        <is>
          <t>2026-10-02</t>
        </is>
      </c>
      <c r="AD10" t="inlineStr">
        <is>
          <t>com.logistics.rider.foodpanda</t>
        </is>
      </c>
    </row>
    <row r="11">
      <c r="C11" t="inlineStr">
        <is>
          <t>2026-10-10</t>
        </is>
      </c>
      <c r="X11" t="n">
        <v>5</v>
      </c>
      <c r="Y11" t="inlineStr">
        <is>
          <t>2026-10-05</t>
        </is>
      </c>
      <c r="Z11" t="inlineStr">
        <is>
          <t>com.logistics.rider.foodora</t>
        </is>
      </c>
      <c r="AB11" t="n">
        <v>11</v>
      </c>
      <c r="AC11" t="inlineStr">
        <is>
          <t>2026-10-02</t>
        </is>
      </c>
      <c r="AD11" t="inlineStr">
        <is>
          <t>com.logistics.rider.foodora</t>
        </is>
      </c>
    </row>
    <row r="12">
      <c r="C12" t="inlineStr">
        <is>
          <t>2026-10-11</t>
        </is>
      </c>
      <c r="X12" t="n">
        <v>1</v>
      </c>
      <c r="Y12" t="inlineStr">
        <is>
          <t>2026-10-06</t>
        </is>
      </c>
      <c r="Z12" t="inlineStr">
        <is>
          <t>com.logistics.rider.foodora</t>
        </is>
      </c>
      <c r="AB12" t="n">
        <v>21</v>
      </c>
      <c r="AC12" t="inlineStr">
        <is>
          <t>2026-10-02</t>
        </is>
      </c>
      <c r="AD12" t="inlineStr">
        <is>
          <t>com.logistics.rider.talabat</t>
        </is>
      </c>
    </row>
    <row r="13">
      <c r="C13" t="inlineStr">
        <is>
          <t>2026-10-12</t>
        </is>
      </c>
      <c r="X13" t="n">
        <v>5</v>
      </c>
      <c r="Y13" t="inlineStr">
        <is>
          <t>2026-10-01</t>
        </is>
      </c>
      <c r="Z13" t="inlineStr">
        <is>
          <t>com.logistics.rider.talabat</t>
        </is>
      </c>
      <c r="AB13" t="n">
        <v>17</v>
      </c>
      <c r="AC13" t="inlineStr">
        <is>
          <t>2026-10-02</t>
        </is>
      </c>
      <c r="AD13" t="inlineStr">
        <is>
          <t>com.logistics.rider.pedidosya</t>
        </is>
      </c>
    </row>
    <row r="14">
      <c r="C14" t="inlineStr">
        <is>
          <t>2026-10-13</t>
        </is>
      </c>
      <c r="X14" t="n">
        <v>7</v>
      </c>
      <c r="Y14" t="inlineStr">
        <is>
          <t>2026-10-02</t>
        </is>
      </c>
      <c r="Z14" t="inlineStr">
        <is>
          <t>com.logistics.rider.talabat</t>
        </is>
      </c>
      <c r="AB14" t="n">
        <v>8</v>
      </c>
      <c r="AC14" t="inlineStr">
        <is>
          <t>2026-10-02</t>
        </is>
      </c>
      <c r="AD14" t="inlineStr">
        <is>
          <t>com.logistics.rider.hungerstation</t>
        </is>
      </c>
    </row>
    <row r="15">
      <c r="C15" t="inlineStr">
        <is>
          <t>2026-10-14</t>
        </is>
      </c>
      <c r="X15" t="n">
        <v>9</v>
      </c>
      <c r="Y15" t="inlineStr">
        <is>
          <t>2026-10-03</t>
        </is>
      </c>
      <c r="Z15" t="inlineStr">
        <is>
          <t>com.logistics.rider.talabat</t>
        </is>
      </c>
      <c r="AB15" t="n">
        <v>28</v>
      </c>
      <c r="AC15" t="inlineStr">
        <is>
          <t>2026-10-02</t>
        </is>
      </c>
      <c r="AD15" t="inlineStr">
        <is>
          <t>com.logistics.rider.glovo</t>
        </is>
      </c>
    </row>
    <row r="16">
      <c r="C16" t="inlineStr">
        <is>
          <t>2026-10-15</t>
        </is>
      </c>
      <c r="X16" t="n">
        <v>11</v>
      </c>
      <c r="Y16" t="inlineStr">
        <is>
          <t>2026-10-04</t>
        </is>
      </c>
      <c r="Z16" t="inlineStr">
        <is>
          <t>com.logistics.rider.talabat</t>
        </is>
      </c>
      <c r="AB16" t="n">
        <v>1</v>
      </c>
      <c r="AC16" t="inlineStr">
        <is>
          <t>2026-10-02</t>
        </is>
      </c>
      <c r="AD16" t="inlineStr">
        <is>
          <t>com.logistics.rider.woowabros</t>
        </is>
      </c>
    </row>
    <row r="17">
      <c r="C17" t="inlineStr">
        <is>
          <t>2026-10-16</t>
        </is>
      </c>
      <c r="X17" t="n">
        <v>18</v>
      </c>
      <c r="Y17" t="inlineStr">
        <is>
          <t>2026-10-05</t>
        </is>
      </c>
      <c r="Z17" t="inlineStr">
        <is>
          <t>com.logistics.rider.talabat</t>
        </is>
      </c>
      <c r="AB17" t="n">
        <v>1</v>
      </c>
      <c r="AC17" t="inlineStr">
        <is>
          <t>2026-10-02</t>
        </is>
      </c>
      <c r="AD17" t="inlineStr">
        <is>
          <t>com.logistics.rider.efood</t>
        </is>
      </c>
    </row>
    <row r="18">
      <c r="C18" t="inlineStr">
        <is>
          <t>2026-10-17</t>
        </is>
      </c>
      <c r="X18" t="n">
        <v>24</v>
      </c>
      <c r="Y18" t="inlineStr">
        <is>
          <t>2026-10-06</t>
        </is>
      </c>
      <c r="Z18" t="inlineStr">
        <is>
          <t>com.logistics.rider.talabat</t>
        </is>
      </c>
      <c r="AB18" t="n">
        <v>1</v>
      </c>
      <c r="AC18" t="inlineStr">
        <is>
          <t>2026-10-02</t>
        </is>
      </c>
      <c r="AD18" t="inlineStr">
        <is>
          <t>com.logistics.rider.foody</t>
        </is>
      </c>
    </row>
    <row r="19">
      <c r="C19" t="inlineStr">
        <is>
          <t>2026-10-18</t>
        </is>
      </c>
      <c r="X19" t="n">
        <v>4</v>
      </c>
      <c r="Y19" t="inlineStr">
        <is>
          <t>2026-10-02</t>
        </is>
      </c>
      <c r="Z19" t="inlineStr">
        <is>
          <t>com.logistics.rider.pedidosya</t>
        </is>
      </c>
      <c r="AB19" t="n">
        <v>76</v>
      </c>
      <c r="AC19" t="inlineStr">
        <is>
          <t>2026-10-03</t>
        </is>
      </c>
      <c r="AD19" t="inlineStr">
        <is>
          <t>com.logistics.rider.foodpanda</t>
        </is>
      </c>
    </row>
    <row r="20">
      <c r="C20" t="inlineStr">
        <is>
          <t>2026-10-19</t>
        </is>
      </c>
      <c r="X20" t="n">
        <v>5</v>
      </c>
      <c r="Y20" t="inlineStr">
        <is>
          <t>2026-10-03</t>
        </is>
      </c>
      <c r="Z20" t="inlineStr">
        <is>
          <t>com.logistics.rider.pedidosya</t>
        </is>
      </c>
      <c r="AB20" t="n">
        <v>8</v>
      </c>
      <c r="AC20" t="inlineStr">
        <is>
          <t>2026-10-03</t>
        </is>
      </c>
      <c r="AD20" t="inlineStr">
        <is>
          <t>com.logistics.rider.foodora</t>
        </is>
      </c>
    </row>
    <row r="21">
      <c r="C21" t="inlineStr">
        <is>
          <t>2026-10-20</t>
        </is>
      </c>
      <c r="X21" t="n">
        <v>6</v>
      </c>
      <c r="Y21" t="inlineStr">
        <is>
          <t>2026-10-04</t>
        </is>
      </c>
      <c r="Z21" t="inlineStr">
        <is>
          <t>com.logistics.rider.pedidosya</t>
        </is>
      </c>
      <c r="AB21" t="n">
        <v>40</v>
      </c>
      <c r="AC21" t="inlineStr">
        <is>
          <t>2026-10-03</t>
        </is>
      </c>
      <c r="AD21" t="inlineStr">
        <is>
          <t>com.logistics.rider.talabat</t>
        </is>
      </c>
    </row>
    <row r="22">
      <c r="C22" t="inlineStr">
        <is>
          <t>2026-10-21</t>
        </is>
      </c>
      <c r="X22" t="n">
        <v>6</v>
      </c>
      <c r="Y22" t="inlineStr">
        <is>
          <t>2026-10-05</t>
        </is>
      </c>
      <c r="Z22" t="inlineStr">
        <is>
          <t>com.logistics.rider.pedidosya</t>
        </is>
      </c>
      <c r="AB22" t="n">
        <v>17</v>
      </c>
      <c r="AC22" t="inlineStr">
        <is>
          <t>2026-10-03</t>
        </is>
      </c>
      <c r="AD22" t="inlineStr">
        <is>
          <t>com.logistics.rider.pedidosya</t>
        </is>
      </c>
    </row>
    <row r="23">
      <c r="C23" t="inlineStr">
        <is>
          <t>2026-10-22</t>
        </is>
      </c>
      <c r="X23" t="n">
        <v>8</v>
      </c>
      <c r="Y23" t="inlineStr">
        <is>
          <t>2026-10-06</t>
        </is>
      </c>
      <c r="Z23" t="inlineStr">
        <is>
          <t>com.logistics.rider.pedidosya</t>
        </is>
      </c>
      <c r="AB23" t="n">
        <v>11</v>
      </c>
      <c r="AC23" t="inlineStr">
        <is>
          <t>2026-10-03</t>
        </is>
      </c>
      <c r="AD23" t="inlineStr">
        <is>
          <t>com.logistics.rider.hungerstation</t>
        </is>
      </c>
    </row>
    <row r="24">
      <c r="C24" t="inlineStr">
        <is>
          <t>2026-10-23</t>
        </is>
      </c>
      <c r="X24" t="n">
        <v>3</v>
      </c>
      <c r="Y24" t="inlineStr">
        <is>
          <t>2026-10-02</t>
        </is>
      </c>
      <c r="Z24" t="inlineStr">
        <is>
          <t>com.logistics.rider.hungerstation</t>
        </is>
      </c>
      <c r="AB24" t="n">
        <v>47</v>
      </c>
      <c r="AC24" t="inlineStr">
        <is>
          <t>2026-10-03</t>
        </is>
      </c>
      <c r="AD24" t="inlineStr">
        <is>
          <t>com.logistics.rider.glovo</t>
        </is>
      </c>
    </row>
    <row r="25">
      <c r="C25" t="inlineStr">
        <is>
          <t>2026-10-24</t>
        </is>
      </c>
      <c r="X25" t="n">
        <v>4</v>
      </c>
      <c r="Y25" t="inlineStr">
        <is>
          <t>2026-10-03</t>
        </is>
      </c>
      <c r="Z25" t="inlineStr">
        <is>
          <t>com.logistics.rider.hungerstation</t>
        </is>
      </c>
      <c r="AB25" t="n">
        <v>3</v>
      </c>
      <c r="AC25" t="inlineStr">
        <is>
          <t>2026-10-03</t>
        </is>
      </c>
      <c r="AD25" t="inlineStr">
        <is>
          <t>com.logistics.rider.efood</t>
        </is>
      </c>
    </row>
    <row r="26">
      <c r="C26" t="inlineStr">
        <is>
          <t>2026-10-25</t>
        </is>
      </c>
      <c r="X26" t="n">
        <v>5</v>
      </c>
      <c r="Y26" t="inlineStr">
        <is>
          <t>2026-10-04</t>
        </is>
      </c>
      <c r="Z26" t="inlineStr">
        <is>
          <t>com.logistics.rider.hungerstation</t>
        </is>
      </c>
      <c r="AB26" t="n">
        <v>111</v>
      </c>
      <c r="AC26" t="inlineStr">
        <is>
          <t>2026-10-04</t>
        </is>
      </c>
      <c r="AD26" t="inlineStr">
        <is>
          <t>com.logistics.rider.foodpanda</t>
        </is>
      </c>
    </row>
    <row r="27">
      <c r="C27" t="inlineStr">
        <is>
          <t>2026-10-26</t>
        </is>
      </c>
      <c r="X27" t="n">
        <v>6</v>
      </c>
      <c r="Y27" t="inlineStr">
        <is>
          <t>2026-10-05</t>
        </is>
      </c>
      <c r="Z27" t="inlineStr">
        <is>
          <t>com.logistics.rider.hungerstation</t>
        </is>
      </c>
      <c r="AB27" t="n">
        <v>11</v>
      </c>
      <c r="AC27" t="inlineStr">
        <is>
          <t>2026-10-04</t>
        </is>
      </c>
      <c r="AD27" t="inlineStr">
        <is>
          <t>com.logistics.rider.foodora</t>
        </is>
      </c>
    </row>
    <row r="28">
      <c r="C28" t="inlineStr">
        <is>
          <t>2026-10-27</t>
        </is>
      </c>
      <c r="X28" t="n">
        <v>10</v>
      </c>
      <c r="Y28" t="inlineStr">
        <is>
          <t>2026-10-06</t>
        </is>
      </c>
      <c r="Z28" t="inlineStr">
        <is>
          <t>com.logistics.rider.hungerstation</t>
        </is>
      </c>
      <c r="AB28" t="n">
        <v>55</v>
      </c>
      <c r="AC28" t="inlineStr">
        <is>
          <t>2026-10-04</t>
        </is>
      </c>
      <c r="AD28" t="inlineStr">
        <is>
          <t>com.logistics.rider.talabat</t>
        </is>
      </c>
    </row>
    <row r="29">
      <c r="C29" t="inlineStr">
        <is>
          <t>2026-10-28</t>
        </is>
      </c>
      <c r="X29" t="n">
        <v>2</v>
      </c>
      <c r="Y29" t="inlineStr">
        <is>
          <t>2026-10-01</t>
        </is>
      </c>
      <c r="Z29" t="inlineStr">
        <is>
          <t>com.logistics.rider.glovo</t>
        </is>
      </c>
      <c r="AB29" t="n">
        <v>34</v>
      </c>
      <c r="AC29" t="inlineStr">
        <is>
          <t>2026-10-04</t>
        </is>
      </c>
      <c r="AD29" t="inlineStr">
        <is>
          <t>com.logistics.rider.pedidosya</t>
        </is>
      </c>
    </row>
    <row r="30">
      <c r="C30" t="inlineStr">
        <is>
          <t>2026-10-29</t>
        </is>
      </c>
      <c r="X30" t="n">
        <v>5</v>
      </c>
      <c r="Y30" t="inlineStr">
        <is>
          <t>2026-10-02</t>
        </is>
      </c>
      <c r="Z30" t="inlineStr">
        <is>
          <t>com.logistics.rider.glovo</t>
        </is>
      </c>
      <c r="AB30" t="n">
        <v>19</v>
      </c>
      <c r="AC30" t="inlineStr">
        <is>
          <t>2026-10-04</t>
        </is>
      </c>
      <c r="AD30" t="inlineStr">
        <is>
          <t>com.logistics.rider.hungerstation</t>
        </is>
      </c>
    </row>
    <row r="31">
      <c r="C31" t="inlineStr">
        <is>
          <t>2026-10-30</t>
        </is>
      </c>
      <c r="X31" t="n">
        <v>15</v>
      </c>
      <c r="Y31" t="inlineStr">
        <is>
          <t>2026-10-03</t>
        </is>
      </c>
      <c r="Z31" t="inlineStr">
        <is>
          <t>com.logistics.rider.glovo</t>
        </is>
      </c>
      <c r="AB31" t="n">
        <v>67</v>
      </c>
      <c r="AC31" t="inlineStr">
        <is>
          <t>2026-10-04</t>
        </is>
      </c>
      <c r="AD31" t="inlineStr">
        <is>
          <t>com.logistics.rider.glovo</t>
        </is>
      </c>
    </row>
    <row r="32">
      <c r="C32" t="inlineStr">
        <is>
          <t>2026-10-31</t>
        </is>
      </c>
      <c r="X32" t="n">
        <v>27</v>
      </c>
      <c r="Y32" t="inlineStr">
        <is>
          <t>2026-10-04</t>
        </is>
      </c>
      <c r="Z32" t="inlineStr">
        <is>
          <t>com.logistics.rider.glovo</t>
        </is>
      </c>
      <c r="AB32" t="n">
        <v>5</v>
      </c>
      <c r="AC32" t="inlineStr">
        <is>
          <t>2026-10-04</t>
        </is>
      </c>
      <c r="AD32" t="inlineStr">
        <is>
          <t>com.logistics.rider.efood</t>
        </is>
      </c>
    </row>
    <row r="33">
      <c r="G33" s="36" t="inlineStr">
        <is>
          <t>AVG CFU</t>
        </is>
      </c>
      <c r="I33" s="36" t="inlineStr">
        <is>
          <t>October AQS score</t>
        </is>
      </c>
      <c r="L33" s="36" t="inlineStr">
        <is>
          <t>AVG Hang-free</t>
        </is>
      </c>
      <c r="N33" s="36" t="inlineStr">
        <is>
          <t>Projected AQS including hangs</t>
        </is>
      </c>
      <c r="X33" t="n">
        <v>10</v>
      </c>
      <c r="Y33" t="inlineStr">
        <is>
          <t>2026-10-05</t>
        </is>
      </c>
      <c r="Z33" t="inlineStr">
        <is>
          <t>com.logistics.rider.glovo</t>
        </is>
      </c>
      <c r="AB33" t="n">
        <v>112</v>
      </c>
      <c r="AC33" t="inlineStr">
        <is>
          <t>2026-10-05</t>
        </is>
      </c>
      <c r="AD33" t="inlineStr">
        <is>
          <t>com.logistics.rider.foodpanda</t>
        </is>
      </c>
    </row>
    <row r="34">
      <c r="D34">
        <f>AVERAGE(D2:D7)</f>
        <v/>
      </c>
      <c r="G34" s="37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>
        <f>AVERAGE(H2:H7)</f>
        <v/>
      </c>
      <c r="I34" s="38">
        <f>$B$2+H34</f>
        <v/>
      </c>
      <c r="L34" s="37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>
        <f>MAX(0,(L34-$B$6)/($B$7-$B$6)*$B$8)</f>
        <v/>
      </c>
      <c r="N34" s="38">
        <f>$B$2+MAX(0,(G34-$B$3)/($B$4-$B$3)*($B$1-$B$8))+M34</f>
        <v/>
      </c>
      <c r="X34" t="n">
        <v>19</v>
      </c>
      <c r="Y34" t="inlineStr">
        <is>
          <t>2026-10-06</t>
        </is>
      </c>
      <c r="Z34" t="inlineStr">
        <is>
          <t>com.logistics.rider.glovo</t>
        </is>
      </c>
      <c r="AB34" t="n">
        <v>7</v>
      </c>
      <c r="AC34" t="inlineStr">
        <is>
          <t>2026-10-05</t>
        </is>
      </c>
      <c r="AD34" t="inlineStr">
        <is>
          <t>com.logistics.rider.foodora</t>
        </is>
      </c>
    </row>
    <row r="35">
      <c r="X35" t="n">
        <v>1</v>
      </c>
      <c r="Y35" t="inlineStr">
        <is>
          <t>2026-10-02</t>
        </is>
      </c>
      <c r="Z35" t="inlineStr">
        <is>
          <t>com.logistics.rider.woowabros</t>
        </is>
      </c>
      <c r="AB35" t="n">
        <v>40</v>
      </c>
      <c r="AC35" t="inlineStr">
        <is>
          <t>2026-10-05</t>
        </is>
      </c>
      <c r="AD35" t="inlineStr">
        <is>
          <t>com.logistics.rider.talabat</t>
        </is>
      </c>
    </row>
    <row r="36">
      <c r="X36" t="n">
        <v>2</v>
      </c>
      <c r="Y36" t="inlineStr">
        <is>
          <t>2026-10-02</t>
        </is>
      </c>
      <c r="Z36" t="inlineStr">
        <is>
          <t>com.logistics.rider.efood</t>
        </is>
      </c>
      <c r="AB36" t="n">
        <v>27</v>
      </c>
      <c r="AC36" t="inlineStr">
        <is>
          <t>2026-10-05</t>
        </is>
      </c>
      <c r="AD36" t="inlineStr">
        <is>
          <t>com.logistics.rider.pedidosya</t>
        </is>
      </c>
    </row>
    <row r="37">
      <c r="X37" t="n">
        <v>3</v>
      </c>
      <c r="Y37" t="inlineStr">
        <is>
          <t>2026-10-03</t>
        </is>
      </c>
      <c r="Z37" t="inlineStr">
        <is>
          <t>com.logistics.rider.efood</t>
        </is>
      </c>
      <c r="AB37" t="n">
        <v>26</v>
      </c>
      <c r="AC37" t="inlineStr">
        <is>
          <t>2026-10-05</t>
        </is>
      </c>
      <c r="AD37" t="inlineStr">
        <is>
          <t>com.logistics.rider.hungerstation</t>
        </is>
      </c>
    </row>
    <row r="38">
      <c r="X38" t="n">
        <v>5</v>
      </c>
      <c r="Y38" t="inlineStr">
        <is>
          <t>2026-10-05</t>
        </is>
      </c>
      <c r="Z38" t="inlineStr">
        <is>
          <t>com.logistics.rider.efood</t>
        </is>
      </c>
      <c r="AB38" t="n">
        <v>69</v>
      </c>
      <c r="AC38" t="inlineStr">
        <is>
          <t>2026-10-05</t>
        </is>
      </c>
      <c r="AD38" t="inlineStr">
        <is>
          <t>com.logistics.rider.glovo</t>
        </is>
      </c>
    </row>
    <row r="39">
      <c r="X39" t="n">
        <v>4</v>
      </c>
      <c r="Y39" t="inlineStr">
        <is>
          <t>2026-10-06</t>
        </is>
      </c>
      <c r="Z39" t="inlineStr">
        <is>
          <t>com.logistics.rider.efood</t>
        </is>
      </c>
      <c r="AB39" t="n">
        <v>3</v>
      </c>
      <c r="AC39" t="inlineStr">
        <is>
          <t>2026-10-05</t>
        </is>
      </c>
      <c r="AD39" t="inlineStr">
        <is>
          <t>com.logistics.rider.efood</t>
        </is>
      </c>
    </row>
    <row r="40">
      <c r="X40" t="n">
        <v>1</v>
      </c>
      <c r="Y40" t="inlineStr">
        <is>
          <t>2026-10-04</t>
        </is>
      </c>
      <c r="Z40" t="inlineStr">
        <is>
          <t>com.logistics.rider.foody</t>
        </is>
      </c>
      <c r="AB40" t="n">
        <v>2</v>
      </c>
      <c r="AC40" t="inlineStr">
        <is>
          <t>2026-10-05</t>
        </is>
      </c>
      <c r="AD40" t="inlineStr">
        <is>
          <t>com.logistics.rider.foody</t>
        </is>
      </c>
    </row>
    <row r="41">
      <c r="AB41" t="n">
        <v>142</v>
      </c>
      <c r="AC41" t="inlineStr">
        <is>
          <t>2026-10-06</t>
        </is>
      </c>
      <c r="AD41" t="inlineStr">
        <is>
          <t>com.logistics.rider.foodpanda</t>
        </is>
      </c>
    </row>
    <row r="42">
      <c r="AB42" t="n">
        <v>9</v>
      </c>
      <c r="AC42" t="inlineStr">
        <is>
          <t>2026-10-06</t>
        </is>
      </c>
      <c r="AD42" t="inlineStr">
        <is>
          <t>com.logistics.rider.foodora</t>
        </is>
      </c>
    </row>
    <row r="43">
      <c r="AB43" t="n">
        <v>67</v>
      </c>
      <c r="AC43" t="inlineStr">
        <is>
          <t>2026-10-06</t>
        </is>
      </c>
      <c r="AD43" t="inlineStr">
        <is>
          <t>com.logistics.rider.talabat</t>
        </is>
      </c>
    </row>
    <row r="44">
      <c r="AB44" t="n">
        <v>19</v>
      </c>
      <c r="AC44" t="inlineStr">
        <is>
          <t>2026-10-06</t>
        </is>
      </c>
      <c r="AD44" t="inlineStr">
        <is>
          <t>com.logistics.rider.pedidosya</t>
        </is>
      </c>
    </row>
    <row r="45">
      <c r="AB45" t="n">
        <v>27</v>
      </c>
      <c r="AC45" t="inlineStr">
        <is>
          <t>2026-10-06</t>
        </is>
      </c>
      <c r="AD45" t="inlineStr">
        <is>
          <t>com.logistics.rider.hungerstation</t>
        </is>
      </c>
    </row>
    <row r="46">
      <c r="AB46" t="n">
        <v>108</v>
      </c>
      <c r="AC46" t="inlineStr">
        <is>
          <t>2026-10-06</t>
        </is>
      </c>
      <c r="AD46" t="inlineStr">
        <is>
          <t>com.logistics.rider.glovo</t>
        </is>
      </c>
    </row>
    <row r="47">
      <c r="AB47" t="n">
        <v>3</v>
      </c>
      <c r="AC47" t="inlineStr">
        <is>
          <t>2026-10-06</t>
        </is>
      </c>
      <c r="AD47" t="inlineStr">
        <is>
          <t>com.logistics.rider.woowabros</t>
        </is>
      </c>
    </row>
    <row r="48">
      <c r="AB48" t="n">
        <v>8</v>
      </c>
      <c r="AC48" t="inlineStr">
        <is>
          <t>2026-10-06</t>
        </is>
      </c>
      <c r="AD48" t="inlineStr">
        <is>
          <t>com.logistics.rider.efood</t>
        </is>
      </c>
    </row>
    <row r="49">
      <c r="AB49" t="n">
        <v>3</v>
      </c>
      <c r="AC49" t="inlineStr">
        <is>
          <t>2026-10-06</t>
        </is>
      </c>
      <c r="AD49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TRUNC(MAX(0,MIN(100,(1-SUMIFS('v4.2640.3'!$X:$X,'v4.2640.3'!$Z:$Z,"*"&amp;$A2&amp;"*")/IF(SUMIFS('v4.2640.3'!$V:$V,'v4.2640.3'!$U:$U,"*"&amp;$A2&amp;"*")&gt;0,SUMIFS('v4.2640.3'!$V:$V,'v4.2640.3'!$U:$U,"*"&amp;$A2&amp;"*"),I2*31))*100)),2)</f>
        <v/>
      </c>
      <c r="C2" s="4">
        <f>TRUNC(MAX(0,MIN(100,(1-SUMIFS('v4.2640.3'!$AB:$AB,'v4.2640.3'!$AD:$AD,"*"&amp;$A2&amp;"*")/IF(SUMIFS('v4.2640.3'!$V:$V,'v4.2640.3'!$U:$U,"*"&amp;$A2&amp;"*")&gt;0,SUMIFS('v4.2640.3'!$V:$V,'v4.2640.3'!$U:$U,"*"&amp;$A2&amp;"*"),I2*31))*100)),2)</f>
        <v/>
      </c>
      <c r="D2" s="4" t="n">
        <v>77.8</v>
      </c>
      <c r="E2" s="4" t="n">
        <v>4.3</v>
      </c>
      <c r="F2" s="4" t="n">
        <v>0.988</v>
      </c>
      <c r="G2" s="4" t="n">
        <v>1.2</v>
      </c>
      <c r="H2" s="4" t="n">
        <v>0.57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TRUNC(MAX(0,MIN(100,(1-SUMIFS('v4.2640.3'!$X:$X,'v4.2640.3'!$Z:$Z,"*"&amp;$A3&amp;"*")/IF(SUMIFS('v4.2640.3'!$V:$V,'v4.2640.3'!$U:$U,"*"&amp;$A3&amp;"*")&gt;0,SUMIFS('v4.2640.3'!$V:$V,'v4.2640.3'!$U:$U,"*"&amp;$A3&amp;"*"),I3*31))*100)),2)</f>
        <v/>
      </c>
      <c r="C3" s="7">
        <f>TRUNC(MAX(0,MIN(100,(1-SUMIFS('v4.2640.3'!$AB:$AB,'v4.2640.3'!$AD:$AD,"*"&amp;$A3&amp;"*")/IF(SUMIFS('v4.2640.3'!$V:$V,'v4.2640.3'!$U:$U,"*"&amp;$A3&amp;"*")&gt;0,SUMIFS('v4.2640.3'!$V:$V,'v4.2640.3'!$U:$U,"*"&amp;$A3&amp;"*"),I3*31))*100)),2)</f>
        <v/>
      </c>
      <c r="D3" s="7" t="n">
        <v>83.2</v>
      </c>
      <c r="E3" s="7" t="n">
        <v>4.3</v>
      </c>
      <c r="F3" s="7" t="n">
        <v>0.988</v>
      </c>
      <c r="G3" s="7" t="n">
        <v>1.2</v>
      </c>
      <c r="H3" s="7" t="n">
        <v>0.57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TRUNC(MAX(0,MIN(100,(1-SUMIFS('v4.2640.3'!$X:$X,'v4.2640.3'!$Z:$Z,"*"&amp;$A4&amp;"*")/IF(SUMIFS('v4.2640.3'!$V:$V,'v4.2640.3'!$U:$U,"*"&amp;$A4&amp;"*")&gt;0,SUMIFS('v4.2640.3'!$V:$V,'v4.2640.3'!$U:$U,"*"&amp;$A4&amp;"*"),I4*31))*100)),2)</f>
        <v/>
      </c>
      <c r="C4" s="4">
        <f>TRUNC(MAX(0,MIN(100,(1-SUMIFS('v4.2640.3'!$AB:$AB,'v4.2640.3'!$AD:$AD,"*"&amp;$A4&amp;"*")/IF(SUMIFS('v4.2640.3'!$V:$V,'v4.2640.3'!$U:$U,"*"&amp;$A4&amp;"*")&gt;0,SUMIFS('v4.2640.3'!$V:$V,'v4.2640.3'!$U:$U,"*"&amp;$A4&amp;"*"),I4*31))*100)),2)</f>
        <v/>
      </c>
      <c r="D4" s="4" t="n">
        <v>77.8</v>
      </c>
      <c r="E4" s="4" t="n">
        <v>4.3</v>
      </c>
      <c r="F4" s="4" t="n">
        <v>0.988</v>
      </c>
      <c r="G4" s="4" t="n">
        <v>1.2</v>
      </c>
      <c r="H4" s="4" t="n">
        <v>0.57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TRUNC(MAX(0,MIN(100,(1-SUMIFS('v4.2640.3'!$X:$X,'v4.2640.3'!$Z:$Z,"*"&amp;$A5&amp;"*")/IF(SUMIFS('v4.2640.3'!$V:$V,'v4.2640.3'!$U:$U,"*"&amp;$A5&amp;"*")&gt;0,SUMIFS('v4.2640.3'!$V:$V,'v4.2640.3'!$U:$U,"*"&amp;$A5&amp;"*"),I5*31))*100)),2)</f>
        <v/>
      </c>
      <c r="C5" s="7">
        <f>TRUNC(MAX(0,MIN(100,(1-SUMIFS('v4.2640.3'!$AB:$AB,'v4.2640.3'!$AD:$AD,"*"&amp;$A5&amp;"*")/IF(SUMIFS('v4.2640.3'!$V:$V,'v4.2640.3'!$U:$U,"*"&amp;$A5&amp;"*")&gt;0,SUMIFS('v4.2640.3'!$V:$V,'v4.2640.3'!$U:$U,"*"&amp;$A5&amp;"*"),I5*31))*100)),2)</f>
        <v/>
      </c>
      <c r="D5" s="7" t="n">
        <v>68.40000000000001</v>
      </c>
      <c r="E5" s="7" t="n">
        <v>4.3</v>
      </c>
      <c r="F5" s="7" t="n">
        <v>0.988</v>
      </c>
      <c r="G5" s="7" t="n">
        <v>1.2</v>
      </c>
      <c r="H5" s="7" t="n">
        <v>0.57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TRUNC(MAX(0,MIN(100,(1-SUMIFS('v4.2640.3'!$X:$X,'v4.2640.3'!$Z:$Z,"*"&amp;$A6&amp;"*")/IF(SUMIFS('v4.2640.3'!$V:$V,'v4.2640.3'!$U:$U,"*"&amp;$A6&amp;"*")&gt;0,SUMIFS('v4.2640.3'!$V:$V,'v4.2640.3'!$U:$U,"*"&amp;$A6&amp;"*"),I6*31))*100)),2)</f>
        <v/>
      </c>
      <c r="C6" s="4">
        <f>TRUNC(MAX(0,MIN(100,(1-SUMIFS('v4.2640.3'!$AB:$AB,'v4.2640.3'!$AD:$AD,"*"&amp;$A6&amp;"*")/IF(SUMIFS('v4.2640.3'!$V:$V,'v4.2640.3'!$U:$U,"*"&amp;$A6&amp;"*")&gt;0,SUMIFS('v4.2640.3'!$V:$V,'v4.2640.3'!$U:$U,"*"&amp;$A6&amp;"*"),I6*31))*100)),2)</f>
        <v/>
      </c>
      <c r="D6" s="4" t="n">
        <v>78.3</v>
      </c>
      <c r="E6" s="4" t="n">
        <v>4.3</v>
      </c>
      <c r="F6" s="4" t="n">
        <v>0.988</v>
      </c>
      <c r="G6" s="4" t="n">
        <v>1.2</v>
      </c>
      <c r="H6" s="4" t="n">
        <v>0.57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TRUNC(MAX(0,MIN(100,(1-SUMIFS('v4.2640.3'!$X:$X,'v4.2640.3'!$Z:$Z,"*"&amp;$A7&amp;"*")/IF(SUMIFS('v4.2640.3'!$V:$V,'v4.2640.3'!$U:$U,"*"&amp;$A7&amp;"*")&gt;0,SUMIFS('v4.2640.3'!$V:$V,'v4.2640.3'!$U:$U,"*"&amp;$A7&amp;"*"),I7*31))*100)),2)</f>
        <v/>
      </c>
      <c r="C7" s="7">
        <f>TRUNC(MAX(0,MIN(100,(1-SUMIFS('v4.2640.3'!$AB:$AB,'v4.2640.3'!$AD:$AD,"*"&amp;$A7&amp;"*")/IF(SUMIFS('v4.2640.3'!$V:$V,'v4.2640.3'!$U:$U,"*"&amp;$A7&amp;"*")&gt;0,SUMIFS('v4.2640.3'!$V:$V,'v4.2640.3'!$U:$U,"*"&amp;$A7&amp;"*"),I7*31))*100)),2)</f>
        <v/>
      </c>
      <c r="D7" s="7" t="n">
        <v>78.3</v>
      </c>
      <c r="E7" s="7" t="n">
        <v>4.3</v>
      </c>
      <c r="F7" s="7" t="n">
        <v>0.988</v>
      </c>
      <c r="G7" s="7" t="n">
        <v>1.2</v>
      </c>
      <c r="H7" s="7" t="n">
        <v>0.57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TRUNC(MAX(0,MIN(100,(1-SUMIFS('v4.2640.3'!$X:$X,'v4.2640.3'!$Z:$Z,"*"&amp;$A8&amp;"*")/IF(SUMIFS('v4.2640.3'!$V:$V,'v4.2640.3'!$U:$U,"*"&amp;$A8&amp;"*")&gt;0,SUMIFS('v4.2640.3'!$V:$V,'v4.2640.3'!$U:$U,"*"&amp;$A8&amp;"*"),I8*31))*100)),2)</f>
        <v/>
      </c>
      <c r="C8" s="4">
        <f>TRUNC(MAX(0,MIN(100,(1-SUMIFS('v4.2640.3'!$AB:$AB,'v4.2640.3'!$AD:$AD,"*"&amp;$A8&amp;"*")/IF(SUMIFS('v4.2640.3'!$V:$V,'v4.2640.3'!$U:$U,"*"&amp;$A8&amp;"*")&gt;0,SUMIFS('v4.2640.3'!$V:$V,'v4.2640.3'!$U:$U,"*"&amp;$A8&amp;"*"),I8*31))*100)),2)</f>
        <v/>
      </c>
      <c r="D8" s="4" t="n">
        <v>77.90000000000001</v>
      </c>
      <c r="E8" s="4" t="n">
        <v>4.3</v>
      </c>
      <c r="F8" s="4" t="n">
        <v>0.988</v>
      </c>
      <c r="G8" s="4" t="n">
        <v>1.2</v>
      </c>
      <c r="H8" s="4" t="n">
        <v>0.57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TRUNC(MAX(0,MIN(100,(1-SUMIFS('v4.2640.3'!$X:$X,'v4.2640.3'!$Z:$Z,"*"&amp;$A9&amp;"*")/IF(SUMIFS('v4.2640.3'!$V:$V,'v4.2640.3'!$U:$U,"*"&amp;$A9&amp;"*")&gt;0,SUMIFS('v4.2640.3'!$V:$V,'v4.2640.3'!$U:$U,"*"&amp;$A9&amp;"*"),I9*31))*100)),2)</f>
        <v/>
      </c>
      <c r="C9" s="7">
        <f>TRUNC(MAX(0,MIN(100,(1-SUMIFS('v4.2640.3'!$AB:$AB,'v4.2640.3'!$AD:$AD,"*"&amp;$A9&amp;"*")/IF(SUMIFS('v4.2640.3'!$V:$V,'v4.2640.3'!$U:$U,"*"&amp;$A9&amp;"*")&gt;0,SUMIFS('v4.2640.3'!$V:$V,'v4.2640.3'!$U:$U,"*"&amp;$A9&amp;"*"),I9*31))*100)),2)</f>
        <v/>
      </c>
      <c r="D9" s="7" t="n">
        <v>78</v>
      </c>
      <c r="E9" s="7" t="n">
        <v>4.3</v>
      </c>
      <c r="F9" s="7" t="n">
        <v>0.988</v>
      </c>
      <c r="G9" s="7" t="n">
        <v>1.2</v>
      </c>
      <c r="H9" s="7" t="n">
        <v>0.57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TRUNC(MAX(0,MIN(100,(1-SUMIFS('v4.2640.3'!$X:$X,'v4.2640.3'!$Z:$Z,"*"&amp;$A10&amp;"*")/IF(SUMIFS('v4.2640.3'!$V:$V,'v4.2640.3'!$U:$U,"*"&amp;$A10&amp;"*")&gt;0,SUMIFS('v4.2640.3'!$V:$V,'v4.2640.3'!$U:$U,"*"&amp;$A10&amp;"*"),I10*31))*100)),2)</f>
        <v/>
      </c>
      <c r="C10" s="4">
        <f>TRUNC(MAX(0,MIN(100,(1-SUMIFS('v4.2640.3'!$AB:$AB,'v4.2640.3'!$AD:$AD,"*"&amp;$A10&amp;"*")/IF(SUMIFS('v4.2640.3'!$V:$V,'v4.2640.3'!$U:$U,"*"&amp;$A10&amp;"*")&gt;0,SUMIFS('v4.2640.3'!$V:$V,'v4.2640.3'!$U:$U,"*"&amp;$A10&amp;"*"),I10*31))*100)),2)</f>
        <v/>
      </c>
      <c r="D10" s="4" t="n">
        <v>68.09999999999999</v>
      </c>
      <c r="E10" s="4" t="n">
        <v>4.3</v>
      </c>
      <c r="F10" s="4" t="n">
        <v>0.988</v>
      </c>
      <c r="G10" s="4" t="n">
        <v>1.2</v>
      </c>
      <c r="H10" s="4" t="n">
        <v>0.57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TRUNC(MAX(0,MIN(100,(1-SUMIFS('v4.2640.3'!$X:$X,'v4.2640.3'!$Z:$Z,"*"&amp;$A11&amp;"*")/IF(SUMIFS('v4.2640.3'!$V:$V,'v4.2640.3'!$U:$U,"*"&amp;$A11&amp;"*")&gt;0,SUMIFS('v4.2640.3'!$V:$V,'v4.2640.3'!$U:$U,"*"&amp;$A11&amp;"*"),I11*31))*100)),2)</f>
        <v/>
      </c>
      <c r="C11" s="7">
        <f>TRUNC(MAX(0,MIN(100,(1-SUMIFS('v4.2640.3'!$AB:$AB,'v4.2640.3'!$AD:$AD,"*"&amp;$A11&amp;"*")/IF(SUMIFS('v4.2640.3'!$V:$V,'v4.2640.3'!$U:$U,"*"&amp;$A11&amp;"*")&gt;0,SUMIFS('v4.2640.3'!$V:$V,'v4.2640.3'!$U:$U,"*"&amp;$A11&amp;"*"),I11*31))*100)),2)</f>
        <v/>
      </c>
      <c r="D11" s="7" t="n">
        <v>68.09999999999999</v>
      </c>
      <c r="E11" s="7" t="n">
        <v>4.3</v>
      </c>
      <c r="F11" s="7" t="n">
        <v>0.988</v>
      </c>
      <c r="G11" s="7" t="n">
        <v>1.2</v>
      </c>
      <c r="H11" s="7" t="n">
        <v>0.57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2026-10-07T19:58:09Z</dcterms:created>
  <dcterms:modified xsi:type="dcterms:W3CDTF">2026-10-07T19:58:09Z</dcterms:modified>
</cp:coreProperties>
</file>