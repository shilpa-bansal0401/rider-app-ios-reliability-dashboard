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77.5</v>
      </c>
      <c r="E2" s="4" t="n">
        <v>4.47</v>
      </c>
      <c r="F2" s="4" t="n">
        <v>0.9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80.7</v>
      </c>
      <c r="E3" s="7" t="n">
        <v>4.47</v>
      </c>
      <c r="F3" s="7" t="n">
        <v>0.9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77.59999999999999</v>
      </c>
      <c r="E4" s="4" t="n">
        <v>4.47</v>
      </c>
      <c r="F4" s="4" t="n">
        <v>0.9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66.8</v>
      </c>
      <c r="E5" s="7" t="n">
        <v>4.47</v>
      </c>
      <c r="F5" s="7" t="n">
        <v>0.9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77.59999999999999</v>
      </c>
      <c r="E6" s="4" t="n">
        <v>4.47</v>
      </c>
      <c r="F6" s="4" t="n">
        <v>0.9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77.5</v>
      </c>
      <c r="E7" s="7" t="n">
        <v>4.47</v>
      </c>
      <c r="F7" s="7" t="n">
        <v>0.9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77.5</v>
      </c>
      <c r="E8" s="4" t="n">
        <v>4.47</v>
      </c>
      <c r="F8" s="4" t="n">
        <v>0.9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75.90000000000001</v>
      </c>
      <c r="E9" s="7" t="n">
        <v>4.47</v>
      </c>
      <c r="F9" s="7" t="n">
        <v>0.9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67.7</v>
      </c>
      <c r="E10" s="4" t="n">
        <v>4.47</v>
      </c>
      <c r="F10" s="4" t="n">
        <v>0.9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67.7</v>
      </c>
      <c r="E11" s="7" t="n">
        <v>4.47</v>
      </c>
      <c r="F11" s="7" t="n">
        <v>0.9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ROUND(MAX(0,MIN(100,(1-E30/IF(D30&gt;0,D30,SUMIFS(Consolidation!$M:$M,Consolidation!$A:$A,"*"&amp;$B$10&amp;"*")/30))*100)),2)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ROUND(MAX(0,MIN(100,100*(1-K30/IF(D30&gt;0,D30,SUMIFS(Consolidation!$M:$M,Consolidation!$A:$A,"*"&amp;$B$10&amp;"*")/30)))),2)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ROUND(MAX(0,MIN(100,(1-E31/IF(D31&gt;0,D31,SUMIFS(Consolidation!$M:$M,Consolidation!$A:$A,"*"&amp;$B$10&amp;"*")/30))*100)),2)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ROUND(MAX(0,MIN(100,100*(1-K31/IF(D31&gt;0,D31,SUMIFS(Consolidation!$M:$M,Consolidation!$A:$A,"*"&amp;$B$10&amp;"*")/30)))),2)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1" t="n"/>
      <c r="E32" s="21" t="n"/>
      <c r="F32" s="21" t="n"/>
      <c r="G32" s="22" t="inlineStr">
        <is>
          <t>AVG CFU</t>
        </is>
      </c>
      <c r="H32" s="21" t="n"/>
      <c r="I32" s="22" t="inlineStr">
        <is>
          <t>June AQS score</t>
        </is>
      </c>
      <c r="J32" s="21" t="n"/>
      <c r="K32" s="21" t="n"/>
      <c r="L32" s="22" t="inlineStr">
        <is>
          <t>AVG Hang-free</t>
        </is>
      </c>
      <c r="M32" s="21" t="n"/>
      <c r="N32" s="22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3">
        <f>AVERAGE(D2:D31)</f>
        <v/>
      </c>
      <c r="E33" s="24" t="n"/>
      <c r="F33" s="24" t="n"/>
      <c r="G33" s="25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6">
        <f>AVERAGE(H2:H31)</f>
        <v/>
      </c>
      <c r="I33" s="26">
        <f>$B$2+H33</f>
        <v/>
      </c>
      <c r="J33" s="24" t="n"/>
      <c r="K33" s="24" t="n"/>
      <c r="L33" s="25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6">
        <f>MAX(0,(L33-$B$6)/($B$7-$B$6)*$B$8)</f>
        <v/>
      </c>
      <c r="N33" s="26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>
        <v>520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n"/>
      <c r="U219" s="7" t="n"/>
      <c r="V219" s="7" t="n"/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n"/>
      <c r="U220" s="4" t="n"/>
      <c r="V220" s="4" t="n"/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121</v>
      </c>
      <c r="Y222" s="4" t="inlineStr">
        <is>
          <t>2026-06-28</t>
        </is>
      </c>
      <c r="Z222" s="4" t="inlineStr">
        <is>
          <t>com.logistics.rider.foodpanda</t>
        </is>
      </c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n"/>
      <c r="U223" s="7" t="n"/>
      <c r="V223" s="7" t="n"/>
      <c r="X223" s="7" t="n">
        <v>16</v>
      </c>
      <c r="Y223" s="7" t="inlineStr">
        <is>
          <t>2026-06-28</t>
        </is>
      </c>
      <c r="Z223" s="7" t="inlineStr">
        <is>
          <t>com.logistics.rider.foodora</t>
        </is>
      </c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n"/>
      <c r="U224" s="4" t="n"/>
      <c r="V224" s="4" t="n"/>
      <c r="X224" s="4" t="n">
        <v>83</v>
      </c>
      <c r="Y224" s="4" t="inlineStr">
        <is>
          <t>2026-06-28</t>
        </is>
      </c>
      <c r="Z224" s="4" t="inlineStr">
        <is>
          <t>com.logistics.rider.talabat</t>
        </is>
      </c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n"/>
      <c r="U225" s="7" t="n"/>
      <c r="V225" s="7" t="n"/>
      <c r="X225" s="7" t="n">
        <v>36</v>
      </c>
      <c r="Y225" s="7" t="inlineStr">
        <is>
          <t>2026-06-28</t>
        </is>
      </c>
      <c r="Z225" s="7" t="inlineStr">
        <is>
          <t>com.logistics.rider.pedidosya</t>
        </is>
      </c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>
        <v>23</v>
      </c>
      <c r="Y226" s="4" t="inlineStr">
        <is>
          <t>2026-06-28</t>
        </is>
      </c>
      <c r="Z226" s="4" t="inlineStr">
        <is>
          <t>com.logistics.rider.hungerstation</t>
        </is>
      </c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n"/>
      <c r="U227" s="7" t="n"/>
      <c r="V227" s="7" t="n"/>
      <c r="X227" s="7" t="n">
        <v>521</v>
      </c>
      <c r="Y227" s="7" t="inlineStr">
        <is>
          <t>2026-06-28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n"/>
      <c r="U228" s="4" t="n"/>
      <c r="V228" s="4" t="n"/>
      <c r="X228" s="4" t="n">
        <v>11</v>
      </c>
      <c r="Y228" s="4" t="inlineStr">
        <is>
          <t>2026-06-28</t>
        </is>
      </c>
      <c r="Z228" s="4" t="inlineStr">
        <is>
          <t>com.logistics.rider.efood</t>
        </is>
      </c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n"/>
      <c r="U229" s="7" t="n"/>
      <c r="V229" s="7" t="n"/>
      <c r="X229" s="7" t="n">
        <v>114</v>
      </c>
      <c r="Y229" s="7" t="inlineStr">
        <is>
          <t>2026-06-29</t>
        </is>
      </c>
      <c r="Z229" s="7" t="inlineStr">
        <is>
          <t>com.logistics.rider.foodpanda</t>
        </is>
      </c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n"/>
      <c r="U230" s="4" t="n"/>
      <c r="V230" s="4" t="n"/>
      <c r="X230" s="4" t="n">
        <v>17</v>
      </c>
      <c r="Y230" s="4" t="inlineStr">
        <is>
          <t>2026-06-29</t>
        </is>
      </c>
      <c r="Z230" s="4" t="inlineStr">
        <is>
          <t>com.logistics.rider.foodora</t>
        </is>
      </c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n"/>
      <c r="U231" s="7" t="n"/>
      <c r="V231" s="7" t="n"/>
      <c r="X231" s="7" t="n">
        <v>78</v>
      </c>
      <c r="Y231" s="7" t="inlineStr">
        <is>
          <t>2026-06-29</t>
        </is>
      </c>
      <c r="Z231" s="7" t="inlineStr">
        <is>
          <t>com.logistics.rider.talabat</t>
        </is>
      </c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n"/>
      <c r="U232" s="4" t="n"/>
      <c r="V232" s="4" t="n"/>
      <c r="X232" s="4" t="n">
        <v>31</v>
      </c>
      <c r="Y232" s="4" t="inlineStr">
        <is>
          <t>2026-06-29</t>
        </is>
      </c>
      <c r="Z232" s="4" t="inlineStr">
        <is>
          <t>com.logistics.rider.pedidosya</t>
        </is>
      </c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n"/>
      <c r="U233" s="7" t="n"/>
      <c r="V233" s="7" t="n"/>
      <c r="X233" s="7" t="n">
        <v>21</v>
      </c>
      <c r="Y233" s="7" t="inlineStr">
        <is>
          <t>2026-06-29</t>
        </is>
      </c>
      <c r="Z233" s="7" t="inlineStr">
        <is>
          <t>com.logistics.rider.hungerstation</t>
        </is>
      </c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n"/>
      <c r="U234" s="4" t="n"/>
      <c r="V234" s="4" t="n"/>
      <c r="X234" s="4" t="n">
        <v>185</v>
      </c>
      <c r="Y234" s="4" t="inlineStr">
        <is>
          <t>2026-06-29</t>
        </is>
      </c>
      <c r="Z234" s="4" t="inlineStr">
        <is>
          <t>com.logistics.rider.glovo</t>
        </is>
      </c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12</v>
      </c>
      <c r="Y235" s="7" t="inlineStr">
        <is>
          <t>2026-06-29</t>
        </is>
      </c>
      <c r="Z235" s="7" t="inlineStr">
        <is>
          <t>com.logistics.rider.efood</t>
        </is>
      </c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2</v>
      </c>
      <c r="Y236" s="4" t="inlineStr">
        <is>
          <t>2026-06-29</t>
        </is>
      </c>
      <c r="Z236" s="4" t="inlineStr">
        <is>
          <t>com.logistics.rider.foody</t>
        </is>
      </c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120</v>
      </c>
      <c r="Y237" s="7" t="inlineStr">
        <is>
          <t>2026-06-30</t>
        </is>
      </c>
      <c r="Z237" s="7" t="inlineStr">
        <is>
          <t>com.logistics.rider.foodpanda</t>
        </is>
      </c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16</v>
      </c>
      <c r="Y238" s="4" t="inlineStr">
        <is>
          <t>2026-06-30</t>
        </is>
      </c>
      <c r="Z238" s="4" t="inlineStr">
        <is>
          <t>com.logistics.rider.foodora</t>
        </is>
      </c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73</v>
      </c>
      <c r="Y239" s="7" t="inlineStr">
        <is>
          <t>2026-06-30</t>
        </is>
      </c>
      <c r="Z239" s="7" t="inlineStr">
        <is>
          <t>com.logistics.rider.talabat</t>
        </is>
      </c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>
        <v>25</v>
      </c>
      <c r="Y240" s="4" t="inlineStr">
        <is>
          <t>2026-06-30</t>
        </is>
      </c>
      <c r="Z240" s="4" t="inlineStr">
        <is>
          <t>com.logistics.rider.pedidosya</t>
        </is>
      </c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>
        <v>23</v>
      </c>
      <c r="Y241" s="7" t="inlineStr">
        <is>
          <t>2026-06-30</t>
        </is>
      </c>
      <c r="Z241" s="7" t="inlineStr">
        <is>
          <t>com.logistics.rider.hungerstation</t>
        </is>
      </c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>
        <v>84</v>
      </c>
      <c r="Y242" s="4" t="inlineStr">
        <is>
          <t>2026-06-30</t>
        </is>
      </c>
      <c r="Z242" s="4" t="inlineStr">
        <is>
          <t>com.logistics.rider.glovo</t>
        </is>
      </c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>
        <v>10</v>
      </c>
      <c r="Y243" s="7" t="inlineStr">
        <is>
          <t>2026-06-30</t>
        </is>
      </c>
      <c r="Z243" s="7" t="inlineStr">
        <is>
          <t>com.logistics.rider.efood</t>
        </is>
      </c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2026-06-30</t>
        </is>
      </c>
      <c r="Z244" s="4" t="inlineStr">
        <is>
          <t>com.logistics.rider.foody</t>
        </is>
      </c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384</v>
      </c>
      <c r="AC247" s="7" t="inlineStr">
        <is>
          <t>2026-06-28</t>
        </is>
      </c>
      <c r="AD247" s="7" t="inlineStr">
        <is>
          <t>com.logistics.rider.foodpanda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25</v>
      </c>
      <c r="AC248" s="4" t="inlineStr">
        <is>
          <t>2026-06-28</t>
        </is>
      </c>
      <c r="AD248" s="4" t="inlineStr">
        <is>
          <t>com.logistics.rider.foodora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147</v>
      </c>
      <c r="AC249" s="7" t="inlineStr">
        <is>
          <t>2026-06-28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36</v>
      </c>
      <c r="AC250" s="4" t="inlineStr">
        <is>
          <t>2026-06-28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55</v>
      </c>
      <c r="AC251" s="7" t="inlineStr">
        <is>
          <t>2026-06-28</t>
        </is>
      </c>
      <c r="AD251" s="7" t="inlineStr">
        <is>
          <t>com.logistics.rider.hungerstation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146</v>
      </c>
      <c r="AC252" s="4" t="inlineStr">
        <is>
          <t>2026-06-28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4</v>
      </c>
      <c r="AC253" s="7" t="inlineStr">
        <is>
          <t>2026-06-28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4</v>
      </c>
      <c r="AC254" s="4" t="inlineStr">
        <is>
          <t>2026-06-28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2</v>
      </c>
      <c r="AC255" s="7" t="inlineStr">
        <is>
          <t>2026-06-28</t>
        </is>
      </c>
      <c r="AD255" s="7" t="inlineStr">
        <is>
          <t>com.logistics.rider.foody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343</v>
      </c>
      <c r="AC256" s="4" t="inlineStr">
        <is>
          <t>2026-06-29</t>
        </is>
      </c>
      <c r="AD256" s="4" t="inlineStr">
        <is>
          <t>com.logistics.rider.foodpanda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23</v>
      </c>
      <c r="AC257" s="7" t="inlineStr">
        <is>
          <t>2026-06-29</t>
        </is>
      </c>
      <c r="AD257" s="7" t="inlineStr">
        <is>
          <t>com.logistics.rider.foodora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160</v>
      </c>
      <c r="AC258" s="4" t="inlineStr">
        <is>
          <t>2026-06-29</t>
        </is>
      </c>
      <c r="AD258" s="4" t="inlineStr">
        <is>
          <t>com.logistics.rider.talabat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50</v>
      </c>
      <c r="AC259" s="7" t="inlineStr">
        <is>
          <t>2026-06-29</t>
        </is>
      </c>
      <c r="AD259" s="7" t="inlineStr">
        <is>
          <t>com.logistics.rider.pedidosya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35</v>
      </c>
      <c r="AC260" s="4" t="inlineStr">
        <is>
          <t>2026-06-29</t>
        </is>
      </c>
      <c r="AD260" s="4" t="inlineStr">
        <is>
          <t>com.logistics.rider.hungerstation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138</v>
      </c>
      <c r="AC261" s="7" t="inlineStr">
        <is>
          <t>2026-06-29</t>
        </is>
      </c>
      <c r="AD261" s="7" t="inlineStr">
        <is>
          <t>com.logistics.rider.glovo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2026-06-29</t>
        </is>
      </c>
      <c r="AD262" s="4" t="inlineStr">
        <is>
          <t>com.logistics.rider.woowabros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10</v>
      </c>
      <c r="AC263" s="7" t="inlineStr">
        <is>
          <t>2026-06-29</t>
        </is>
      </c>
      <c r="AD263" s="7" t="inlineStr">
        <is>
          <t>com.logistics.rider.efood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2</v>
      </c>
      <c r="AC264" s="4" t="inlineStr">
        <is>
          <t>2026-06-29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382</v>
      </c>
      <c r="AC265" s="7" t="inlineStr">
        <is>
          <t>2026-06-30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40</v>
      </c>
      <c r="AC266" s="4" t="inlineStr">
        <is>
          <t>2026-06-30</t>
        </is>
      </c>
      <c r="AD266" s="4" t="inlineStr">
        <is>
          <t>com.logistics.rider.foodora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175</v>
      </c>
      <c r="AC267" s="7" t="inlineStr">
        <is>
          <t>2026-06-30</t>
        </is>
      </c>
      <c r="AD267" s="7" t="inlineStr">
        <is>
          <t>com.logistics.rider.talabat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58</v>
      </c>
      <c r="AC268" s="4" t="inlineStr">
        <is>
          <t>2026-06-30</t>
        </is>
      </c>
      <c r="AD268" s="4" t="inlineStr">
        <is>
          <t>com.logistics.rider.pedidosya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2026-06-30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2</v>
      </c>
      <c r="AC270" s="4" t="inlineStr">
        <is>
          <t>2026-06-30</t>
        </is>
      </c>
      <c r="AD270" s="4" t="inlineStr">
        <is>
          <t>com.logistics.rider.yemeksepeti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132</v>
      </c>
      <c r="AC271" s="7" t="inlineStr">
        <is>
          <t>2026-06-30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</v>
      </c>
      <c r="AC272" s="4" t="inlineStr">
        <is>
          <t>2026-06-30</t>
        </is>
      </c>
      <c r="AD272" s="4" t="inlineStr">
        <is>
          <t>com.logistics.rider.woowabros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4</v>
      </c>
      <c r="AC273" s="7" t="inlineStr">
        <is>
          <t>2026-06-30</t>
        </is>
      </c>
      <c r="AD273" s="7" t="inlineStr">
        <is>
          <t>com.logistics.rider.efood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2</v>
      </c>
      <c r="AC274" s="4" t="inlineStr">
        <is>
          <t>2026-06-30</t>
        </is>
      </c>
      <c r="AD27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2026-07-02T16:28:26Z</dcterms:created>
  <dcterms:modified xsi:type="dcterms:W3CDTF">2026-07-02T16:28:26Z</dcterms:modified>
</cp:coreProperties>
</file>