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TRUNC((1-SUMIFS(Dashboard!$X:$X,Dashboard!$Z:$Z,"*"&amp;$A2&amp;"*")/SUMIFS(Dashboard!$V:$V,Dashboard!$U:$U,"*"&amp;$A2&amp;"*"))*100,2)</f>
        <v/>
      </c>
      <c r="C2" s="4">
        <f>TRUNC((1-SUMIFS(Dashboard!$AB:$AB,Dashboard!$AD:$AD,"*"&amp;$A2&amp;"*")/SUMIFS(Dashboard!$V:$V,Dashboard!$U:$U,"*"&amp;$A2&amp;"*"))*100,2)</f>
        <v/>
      </c>
      <c r="D2" s="4" t="n">
        <v>76.09999999999999</v>
      </c>
      <c r="E2" s="4" t="n">
        <v>4.43</v>
      </c>
      <c r="F2" s="4" t="n">
        <v>0.95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TRUNC((1-SUMIFS(Dashboard!$X:$X,Dashboard!$Z:$Z,"*"&amp;$A3&amp;"*")/SUMIFS(Dashboard!$V:$V,Dashboard!$U:$U,"*"&amp;$A3&amp;"*"))*100,2)</f>
        <v/>
      </c>
      <c r="C3" s="7">
        <f>TRUNC((1-SUMIFS(Dashboard!$AB:$AB,Dashboard!$AD:$AD,"*"&amp;$A3&amp;"*")/SUMIFS(Dashboard!$V:$V,Dashboard!$U:$U,"*"&amp;$A3&amp;"*"))*100,2)</f>
        <v/>
      </c>
      <c r="D3" s="7" t="n">
        <v>80.3</v>
      </c>
      <c r="E3" s="7" t="n">
        <v>4.43</v>
      </c>
      <c r="F3" s="7" t="n">
        <v>0.95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TRUNC((1-SUMIFS(Dashboard!$X:$X,Dashboard!$Z:$Z,"*"&amp;$A4&amp;"*")/SUMIFS(Dashboard!$V:$V,Dashboard!$U:$U,"*"&amp;$A4&amp;"*"))*100,2)</f>
        <v/>
      </c>
      <c r="C4" s="4">
        <f>TRUNC((1-SUMIFS(Dashboard!$AB:$AB,Dashboard!$AD:$AD,"*"&amp;$A4&amp;"*")/SUMIFS(Dashboard!$V:$V,Dashboard!$U:$U,"*"&amp;$A4&amp;"*"))*100,2)</f>
        <v/>
      </c>
      <c r="D4" s="4" t="n">
        <v>76</v>
      </c>
      <c r="E4" s="4" t="n">
        <v>4.43</v>
      </c>
      <c r="F4" s="4" t="n">
        <v>0.95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TRUNC((1-SUMIFS(Dashboard!$X:$X,Dashboard!$Z:$Z,"*"&amp;$A5&amp;"*")/SUMIFS(Dashboard!$V:$V,Dashboard!$U:$U,"*"&amp;$A5&amp;"*"))*100,2)</f>
        <v/>
      </c>
      <c r="C5" s="7">
        <f>TRUNC((1-SUMIFS(Dashboard!$AB:$AB,Dashboard!$AD:$AD,"*"&amp;$A5&amp;"*")/SUMIFS(Dashboard!$V:$V,Dashboard!$U:$U,"*"&amp;$A5&amp;"*"))*100,2)</f>
        <v/>
      </c>
      <c r="D5" s="7" t="n">
        <v>66.59999999999999</v>
      </c>
      <c r="E5" s="7" t="n">
        <v>4.43</v>
      </c>
      <c r="F5" s="7" t="n">
        <v>0.95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TRUNC((1-SUMIFS(Dashboard!$X:$X,Dashboard!$Z:$Z,"*"&amp;$A6&amp;"*")/SUMIFS(Dashboard!$V:$V,Dashboard!$U:$U,"*"&amp;$A6&amp;"*"))*100,2)</f>
        <v/>
      </c>
      <c r="C6" s="4">
        <f>TRUNC((1-SUMIFS(Dashboard!$AB:$AB,Dashboard!$AD:$AD,"*"&amp;$A6&amp;"*")/SUMIFS(Dashboard!$V:$V,Dashboard!$U:$U,"*"&amp;$A6&amp;"*"))*100,2)</f>
        <v/>
      </c>
      <c r="D6" s="4" t="n">
        <v>76</v>
      </c>
      <c r="E6" s="4" t="n">
        <v>4.43</v>
      </c>
      <c r="F6" s="4" t="n">
        <v>0.95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TRUNC((1-SUMIFS(Dashboard!$X:$X,Dashboard!$Z:$Z,"*"&amp;$A7&amp;"*")/SUMIFS(Dashboard!$V:$V,Dashboard!$U:$U,"*"&amp;$A7&amp;"*"))*100,2)</f>
        <v/>
      </c>
      <c r="C7" s="7">
        <f>TRUNC((1-SUMIFS(Dashboard!$AB:$AB,Dashboard!$AD:$AD,"*"&amp;$A7&amp;"*")/SUMIFS(Dashboard!$V:$V,Dashboard!$U:$U,"*"&amp;$A7&amp;"*"))*100,2)</f>
        <v/>
      </c>
      <c r="D7" s="7" t="n">
        <v>76.40000000000001</v>
      </c>
      <c r="E7" s="7" t="n">
        <v>4.43</v>
      </c>
      <c r="F7" s="7" t="n">
        <v>0.95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TRUNC((1-SUMIFS(Dashboard!$X:$X,Dashboard!$Z:$Z,"*"&amp;$A8&amp;"*")/SUMIFS(Dashboard!$V:$V,Dashboard!$U:$U,"*"&amp;$A8&amp;"*"))*100,2)</f>
        <v/>
      </c>
      <c r="C8" s="4">
        <f>TRUNC((1-SUMIFS(Dashboard!$AB:$AB,Dashboard!$AD:$AD,"*"&amp;$A8&amp;"*")/SUMIFS(Dashboard!$V:$V,Dashboard!$U:$U,"*"&amp;$A8&amp;"*"))*100,2)</f>
        <v/>
      </c>
      <c r="D8" s="4" t="n">
        <v>76.2</v>
      </c>
      <c r="E8" s="4" t="n">
        <v>4.43</v>
      </c>
      <c r="F8" s="4" t="n">
        <v>0.95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TRUNC((1-SUMIFS(Dashboard!$X:$X,Dashboard!$Z:$Z,"*"&amp;$A9&amp;"*")/SUMIFS(Dashboard!$V:$V,Dashboard!$U:$U,"*"&amp;$A9&amp;"*"))*100,2)</f>
        <v/>
      </c>
      <c r="C9" s="7">
        <f>TRUNC((1-SUMIFS(Dashboard!$AB:$AB,Dashboard!$AD:$AD,"*"&amp;$A9&amp;"*")/SUMIFS(Dashboard!$V:$V,Dashboard!$U:$U,"*"&amp;$A9&amp;"*"))*100,2)</f>
        <v/>
      </c>
      <c r="D9" s="7" t="n">
        <v>75.90000000000001</v>
      </c>
      <c r="E9" s="7" t="n">
        <v>4.43</v>
      </c>
      <c r="F9" s="7" t="n">
        <v>0.95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TRUNC((1-SUMIFS(Dashboard!$X:$X,Dashboard!$Z:$Z,"*"&amp;$A10&amp;"*")/SUMIFS(Dashboard!$V:$V,Dashboard!$U:$U,"*"&amp;$A10&amp;"*"))*100,2)</f>
        <v/>
      </c>
      <c r="C10" s="4">
        <f>TRUNC((1-SUMIFS(Dashboard!$AB:$AB,Dashboard!$AD:$AD,"*"&amp;$A10&amp;"*")/SUMIFS(Dashboard!$V:$V,Dashboard!$U:$U,"*"&amp;$A10&amp;"*"))*100,2)</f>
        <v/>
      </c>
      <c r="D10" s="4" t="n">
        <v>66.40000000000001</v>
      </c>
      <c r="E10" s="4" t="n">
        <v>4.43</v>
      </c>
      <c r="F10" s="4" t="n">
        <v>0.95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TRUNC((1-SUMIFS(Dashboard!$X:$X,Dashboard!$Z:$Z,"*"&amp;$A11&amp;"*")/SUMIFS(Dashboard!$V:$V,Dashboard!$U:$U,"*"&amp;$A11&amp;"*"))*100,2)</f>
        <v/>
      </c>
      <c r="C11" s="7">
        <f>TRUNC((1-SUMIFS(Dashboard!$AB:$AB,Dashboard!$AD:$AD,"*"&amp;$A11&amp;"*")/SUMIFS(Dashboard!$V:$V,Dashboard!$U:$U,"*"&amp;$A11&amp;"*"))*100,2)</f>
        <v/>
      </c>
      <c r="D11" s="7" t="n">
        <v>66.3</v>
      </c>
      <c r="E11" s="7" t="n">
        <v>4.43</v>
      </c>
      <c r="F11" s="7" t="n">
        <v>0.95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ROUND((1-E2/D2)*100,2)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ROUND(100*(1-K2/D2),2)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ROUND((1-E3/D3)*100,2)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ROUND(100*(1-K3/D3),2)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ROUND((1-E4/D4)*100,2)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ROUND(100*(1-K4/D4),2)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ROUND((1-E5/D5)*100,2)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ROUND(100*(1-K5/D5),2)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ROUND((1-E6/D6)*100,2)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ROUND(100*(1-K6/D6),2)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ROUND((1-E7/D7)*100,2)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ROUND(100*(1-K7/D7),2)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ROUND((1-E8/D8)*100,2)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ROUND(100*(1-K8/D8),2)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ROUND((1-E9/D9)*100,2)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ROUND(100*(1-K9/D9),2)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ROUND((1-E10/D10)*100,2)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ROUND(100*(1-K10/D10),2)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ROUND((1-E11/D11)*100,2)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ROUND(100*(1-K11/D11),2)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ROUND((1-E12/D12)*100,2)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ROUND(100*(1-K12/D12),2)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ROUND((1-E13/D13)*100,2)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ROUND(100*(1-K13/D13),2)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ROUND((1-E14/D14)*100,2)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ROUND(100*(1-K14/D14),2)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ROUND((1-E15/D15)*100,2)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ROUND(100*(1-K15/D15),2)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ROUND((1-E16/D16)*100,2)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ROUND(100*(1-K16/D16),2)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ROUND((1-E17/D17)*100,2)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ROUND(100*(1-K17/D17),2)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ROUND((1-E18/D18)*100,2)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ROUND(100*(1-K18/D18),2)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ROUND((1-E19/D19)*100,2)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ROUND(100*(1-K19/D19),2)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ROUND((1-E20/D20)*100,2)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ROUND(100*(1-K20/D20),2)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ROUND((1-E21/D21)*100,2)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ROUND(100*(1-K21/D21),2)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ROUND((1-E22/D22)*100,2)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ROUND(100*(1-K22/D22),2)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AVERAGE(D2:D22)</f>
        <v/>
      </c>
      <c r="E33" s="27" t="n"/>
      <c r="F33" s="27" t="n"/>
      <c r="G33" s="28">
        <f>TRUNC((1-SUMIFS(X:X,Z:Z,"*"&amp;$B$10&amp;"*")/SUMIFS(V:V,U:U,"*"&amp;$B$10&amp;"*"))*100,2)</f>
        <v/>
      </c>
      <c r="H33" s="29">
        <f>AVERAGE(H2:H22)</f>
        <v/>
      </c>
      <c r="I33" s="29">
        <f>$B$2+H33</f>
        <v/>
      </c>
      <c r="J33" s="27" t="n"/>
      <c r="K33" s="27" t="n"/>
      <c r="L33" s="28">
        <f>TRUNC((1-SUMIFS(AB:AB,AD:AD,"*"&amp;$B$10&amp;"*")/SUMIFS(V:V,U:U,"*"&amp;$B$10&amp;"*"))*100,2)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n"/>
      <c r="U34" s="4" t="n"/>
      <c r="V34" s="4" t="n"/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n"/>
      <c r="U74" s="4" t="n"/>
      <c r="V74" s="4" t="n"/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n"/>
      <c r="U76" s="4" t="n"/>
      <c r="V76" s="4" t="n"/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n"/>
      <c r="U77" s="7" t="n"/>
      <c r="V77" s="7" t="n"/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n"/>
      <c r="U78" s="4" t="n"/>
      <c r="V78" s="4" t="n"/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n"/>
      <c r="U79" s="7" t="n"/>
      <c r="V79" s="7" t="n"/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n"/>
      <c r="U83" s="7" t="n"/>
      <c r="V83" s="7" t="n"/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n"/>
      <c r="U89" s="7" t="n"/>
      <c r="V89" s="7" t="n"/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n"/>
      <c r="U127" s="7" t="n"/>
      <c r="V127" s="7" t="n"/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n"/>
      <c r="U130" s="4" t="n"/>
      <c r="V130" s="4" t="n"/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n"/>
      <c r="U131" s="7" t="n"/>
      <c r="V131" s="7" t="n"/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n"/>
      <c r="U139" s="7" t="n"/>
      <c r="V139" s="7" t="n"/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n"/>
      <c r="U140" s="4" t="n"/>
      <c r="V140" s="4" t="n"/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n"/>
      <c r="U141" s="7" t="n"/>
      <c r="V141" s="7" t="n"/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n"/>
      <c r="U142" s="4" t="n"/>
      <c r="V142" s="4" t="n"/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n"/>
      <c r="U143" s="7" t="n"/>
      <c r="V143" s="7" t="n"/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n"/>
      <c r="U144" s="4" t="n"/>
      <c r="V144" s="4" t="n"/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n"/>
      <c r="U145" s="7" t="n"/>
      <c r="V145" s="7" t="n"/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n"/>
      <c r="U146" s="4" t="n"/>
      <c r="V146" s="4" t="n"/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n"/>
      <c r="U148" s="4" t="n"/>
      <c r="V148" s="4" t="n"/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n"/>
      <c r="U149" s="7" t="n"/>
      <c r="V149" s="7" t="n"/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n"/>
      <c r="U150" s="4" t="n"/>
      <c r="V150" s="4" t="n"/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n"/>
      <c r="U152" s="4" t="n"/>
      <c r="V152" s="4" t="n"/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n"/>
      <c r="U153" s="7" t="n"/>
      <c r="V153" s="7" t="n"/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n"/>
      <c r="U157" s="7" t="n"/>
      <c r="V157" s="7" t="n"/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n"/>
      <c r="U160" s="4" t="n"/>
      <c r="V160" s="4" t="n"/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n"/>
      <c r="U163" s="7" t="n"/>
      <c r="V163" s="7" t="n"/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n"/>
      <c r="U165" s="7" t="n"/>
      <c r="V165" s="7" t="n"/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n"/>
      <c r="U168" s="4" t="n"/>
      <c r="V168" s="4" t="n"/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n"/>
      <c r="U169" s="7" t="n"/>
      <c r="V169" s="7" t="n"/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n"/>
      <c r="U170" s="4" t="n"/>
      <c r="V170" s="4" t="n"/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n"/>
      <c r="U171" s="7" t="n"/>
      <c r="V171" s="7" t="n"/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n"/>
      <c r="U172" s="4" t="n"/>
      <c r="V172" s="4" t="n"/>
      <c r="X172" s="4" t="n"/>
      <c r="Y172" s="4" t="n"/>
      <c r="Z172" s="4" t="n"/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n"/>
      <c r="U173" s="7" t="n"/>
      <c r="V173" s="7" t="n"/>
      <c r="X173" s="7" t="n"/>
      <c r="Y173" s="7" t="n"/>
      <c r="Z173" s="7" t="n"/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n"/>
      <c r="U174" s="4" t="n"/>
      <c r="V174" s="4" t="n"/>
      <c r="X174" s="4" t="n"/>
      <c r="Y174" s="4" t="n"/>
      <c r="Z174" s="4" t="n"/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n"/>
      <c r="U175" s="7" t="n"/>
      <c r="V175" s="7" t="n"/>
      <c r="X175" s="7" t="n"/>
      <c r="Y175" s="7" t="n"/>
      <c r="Z175" s="7" t="n"/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/>
      <c r="Y176" s="4" t="n"/>
      <c r="Z176" s="4" t="n"/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n"/>
      <c r="U177" s="7" t="n"/>
      <c r="V177" s="7" t="n"/>
      <c r="X177" s="7" t="n"/>
      <c r="Y177" s="7" t="n"/>
      <c r="Z177" s="7" t="n"/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/>
      <c r="Y178" s="4" t="n"/>
      <c r="Z178" s="4" t="n"/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/>
      <c r="Y179" s="7" t="n"/>
      <c r="Z179" s="7" t="n"/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/>
      <c r="Y180" s="4" t="n"/>
      <c r="Z180" s="4" t="n"/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/>
      <c r="Y181" s="7" t="n"/>
      <c r="Z181" s="7" t="n"/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/>
      <c r="Y182" s="4" t="n"/>
      <c r="Z182" s="4" t="n"/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/>
      <c r="Y183" s="7" t="n"/>
      <c r="Z183" s="7" t="n"/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n"/>
      <c r="U184" s="4" t="n"/>
      <c r="V184" s="4" t="n"/>
      <c r="X184" s="4" t="n"/>
      <c r="Y184" s="4" t="n"/>
      <c r="Z184" s="4" t="n"/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n"/>
      <c r="U185" s="7" t="n"/>
      <c r="V185" s="7" t="n"/>
      <c r="X185" s="7" t="n"/>
      <c r="Y185" s="7" t="n"/>
      <c r="Z185" s="7" t="n"/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n"/>
      <c r="U186" s="4" t="n"/>
      <c r="V186" s="4" t="n"/>
      <c r="X186" s="4" t="n"/>
      <c r="Y186" s="4" t="n"/>
      <c r="Z186" s="4" t="n"/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n"/>
      <c r="U187" s="7" t="n"/>
      <c r="V187" s="7" t="n"/>
      <c r="X187" s="7" t="n"/>
      <c r="Y187" s="7" t="n"/>
      <c r="Z187" s="7" t="n"/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n"/>
      <c r="U188" s="4" t="n"/>
      <c r="V188" s="4" t="n"/>
      <c r="X188" s="4" t="n"/>
      <c r="Y188" s="4" t="n"/>
      <c r="Z188" s="4" t="n"/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n"/>
      <c r="U189" s="7" t="n"/>
      <c r="V189" s="7" t="n"/>
      <c r="X189" s="7" t="n"/>
      <c r="Y189" s="7" t="n"/>
      <c r="Z189" s="7" t="n"/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n"/>
      <c r="U190" s="4" t="n"/>
      <c r="V190" s="4" t="n"/>
      <c r="X190" s="4" t="n"/>
      <c r="Y190" s="4" t="n"/>
      <c r="Z190" s="4" t="n"/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/>
      <c r="Y191" s="7" t="n"/>
      <c r="Z191" s="7" t="n"/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2026-06-22T18:27:57Z</dcterms:created>
  <dcterms:modified xsi:type="dcterms:W3CDTF">2026-06-22T18:27:57Z</dcterms:modified>
</cp:coreProperties>
</file>