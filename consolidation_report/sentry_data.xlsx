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77.5</v>
      </c>
      <c r="E2" s="4" t="n">
        <v>4.47</v>
      </c>
      <c r="F2" s="4" t="n">
        <v>0.9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4.47</v>
      </c>
      <c r="F3" s="7" t="n">
        <v>0.9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77.59999999999999</v>
      </c>
      <c r="E4" s="4" t="n">
        <v>4.47</v>
      </c>
      <c r="F4" s="4" t="n">
        <v>0.9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66.8</v>
      </c>
      <c r="E5" s="7" t="n">
        <v>4.47</v>
      </c>
      <c r="F5" s="7" t="n">
        <v>0.9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4.47</v>
      </c>
      <c r="F6" s="4" t="n">
        <v>0.9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</v>
      </c>
      <c r="E7" s="7" t="n">
        <v>4.47</v>
      </c>
      <c r="F7" s="7" t="n">
        <v>0.9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</v>
      </c>
      <c r="E8" s="4" t="n">
        <v>4.47</v>
      </c>
      <c r="F8" s="4" t="n">
        <v>0.9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75.90000000000001</v>
      </c>
      <c r="E9" s="7" t="n">
        <v>4.47</v>
      </c>
      <c r="F9" s="7" t="n">
        <v>0.9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4.47</v>
      </c>
      <c r="F10" s="4" t="n">
        <v>0.9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4.47</v>
      </c>
      <c r="F11" s="7" t="n">
        <v>0.9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ROUND(MIN(100,MAX(0,(((B12-99.7)/(99.9-99.7))*50)+50))*0.35,2)</f>
        <v/>
      </c>
      <c r="C13" s="12">
        <f>ROUND(MIN(100,MAX(0,(((C12-99.7)/(99.9-99.7))*50)+50))*0.25,2)</f>
        <v/>
      </c>
      <c r="D13" s="12">
        <f>ROUND(MIN(100,MAX(0,(((D12-75)/(60-75))*50)+50))*0.02,2)</f>
        <v/>
      </c>
      <c r="E13" s="12">
        <f>ROUND(MIN(100,MAX(0,(((E12-4)/(2-4))*50)+50))*0.10,2)</f>
        <v/>
      </c>
      <c r="F13" s="12">
        <f>ROUND(MIN(100,MAX(0,(((F12-1.5)/(0.5-1.5))*50)+50))*0.10,2)</f>
        <v/>
      </c>
      <c r="G13" s="12">
        <f>ROUND(MIN(100,MAX(0,(((G12-3)/(1-3))*50)+50))*0.13,2)</f>
        <v/>
      </c>
      <c r="H13" s="12">
        <f>ROUND(MIN(100,MAX(0,(((H12-2)/(1-2))*50)+50))*0.05,2)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2026-07-01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125</v>
      </c>
      <c r="Y2" s="4" t="inlineStr">
        <is>
          <t>2026-07-01</t>
        </is>
      </c>
      <c r="Z2" s="4" t="inlineStr">
        <is>
          <t>com.logistics.rider.foodpanda</t>
        </is>
      </c>
      <c r="AB2" s="4" t="n">
        <v>387</v>
      </c>
      <c r="AC2" s="4" t="inlineStr">
        <is>
          <t>2026-07-01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2026-07-02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19</v>
      </c>
      <c r="Y3" s="7" t="inlineStr">
        <is>
          <t>2026-07-01</t>
        </is>
      </c>
      <c r="Z3" s="7" t="inlineStr">
        <is>
          <t>com.logistics.rider.foodora</t>
        </is>
      </c>
      <c r="AB3" s="7" t="n">
        <v>30</v>
      </c>
      <c r="AC3" s="7" t="inlineStr">
        <is>
          <t>2026-07-01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2026-07-03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T4" s="4" t="n"/>
      <c r="U4" s="4" t="n"/>
      <c r="V4" s="4" t="n"/>
      <c r="X4" s="4" t="n">
        <v>80</v>
      </c>
      <c r="Y4" s="4" t="inlineStr">
        <is>
          <t>2026-07-01</t>
        </is>
      </c>
      <c r="Z4" s="4" t="inlineStr">
        <is>
          <t>com.logistics.rider.talabat</t>
        </is>
      </c>
      <c r="AB4" s="4" t="n">
        <v>179</v>
      </c>
      <c r="AC4" s="4" t="inlineStr">
        <is>
          <t>2026-07-01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2026-07-04</t>
        </is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T5" s="7" t="n"/>
      <c r="U5" s="7" t="n"/>
      <c r="V5" s="7" t="n"/>
      <c r="X5" s="7" t="n">
        <v>31</v>
      </c>
      <c r="Y5" s="7" t="inlineStr">
        <is>
          <t>2026-07-01</t>
        </is>
      </c>
      <c r="Z5" s="7" t="inlineStr">
        <is>
          <t>com.logistics.rider.pedidosya</t>
        </is>
      </c>
      <c r="AB5" s="7" t="n">
        <v>55</v>
      </c>
      <c r="AC5" s="7" t="inlineStr">
        <is>
          <t>2026-07-01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2026-07-05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T6" s="4" t="n"/>
      <c r="U6" s="4" t="n"/>
      <c r="V6" s="4" t="n"/>
      <c r="X6" s="4" t="n">
        <v>17</v>
      </c>
      <c r="Y6" s="4" t="inlineStr">
        <is>
          <t>2026-07-01</t>
        </is>
      </c>
      <c r="Z6" s="4" t="inlineStr">
        <is>
          <t>com.logistics.rider.hungerstation</t>
        </is>
      </c>
      <c r="AB6" s="4" t="n">
        <v>40</v>
      </c>
      <c r="AC6" s="4" t="inlineStr">
        <is>
          <t>2026-07-01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2026-07-06</t>
        </is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T7" s="7" t="n"/>
      <c r="U7" s="7" t="n"/>
      <c r="V7" s="7" t="n"/>
      <c r="X7" s="7" t="n">
        <v>95</v>
      </c>
      <c r="Y7" s="7" t="inlineStr">
        <is>
          <t>2026-07-01</t>
        </is>
      </c>
      <c r="Z7" s="7" t="inlineStr">
        <is>
          <t>com.logistics.rider.glovo</t>
        </is>
      </c>
      <c r="AB7" s="7" t="n">
        <v>163</v>
      </c>
      <c r="AC7" s="7" t="inlineStr">
        <is>
          <t>2026-07-01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2026-07-07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T8" s="4" t="n"/>
      <c r="U8" s="4" t="n"/>
      <c r="V8" s="4" t="n"/>
      <c r="X8" s="4" t="n">
        <v>13</v>
      </c>
      <c r="Y8" s="4" t="inlineStr">
        <is>
          <t>2026-07-01</t>
        </is>
      </c>
      <c r="Z8" s="4" t="inlineStr">
        <is>
          <t>com.logistics.rider.efood</t>
        </is>
      </c>
      <c r="AB8" s="4" t="n">
        <v>3</v>
      </c>
      <c r="AC8" s="4" t="inlineStr">
        <is>
          <t>2026-07-01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2026-07-08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n"/>
      <c r="U9" s="7" t="n"/>
      <c r="V9" s="7" t="n"/>
      <c r="X9" s="7" t="n">
        <v>3</v>
      </c>
      <c r="Y9" s="7" t="inlineStr">
        <is>
          <t>2026-07-01</t>
        </is>
      </c>
      <c r="Z9" s="7" t="inlineStr">
        <is>
          <t>com.logistics.rider.foody</t>
        </is>
      </c>
      <c r="AB9" s="7" t="n">
        <v>10</v>
      </c>
      <c r="AC9" s="7" t="inlineStr">
        <is>
          <t>2026-07-01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2026-07-09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n"/>
      <c r="U10" s="4" t="n"/>
      <c r="V10" s="4" t="n"/>
      <c r="X10" s="4" t="n">
        <v>117</v>
      </c>
      <c r="Y10" s="4" t="inlineStr">
        <is>
          <t>2026-07-02</t>
        </is>
      </c>
      <c r="Z10" s="4" t="inlineStr">
        <is>
          <t>com.logistics.rider.foodpanda</t>
        </is>
      </c>
      <c r="AB10" s="4" t="n">
        <v>3</v>
      </c>
      <c r="AC10" s="4" t="inlineStr">
        <is>
          <t>2026-07-01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2026-07-10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n"/>
      <c r="U11" s="7" t="n"/>
      <c r="V11" s="7" t="n"/>
      <c r="X11" s="7" t="n">
        <v>18</v>
      </c>
      <c r="Y11" s="7" t="inlineStr">
        <is>
          <t>2026-07-02</t>
        </is>
      </c>
      <c r="Z11" s="7" t="inlineStr">
        <is>
          <t>com.logistics.rider.foodora</t>
        </is>
      </c>
      <c r="AB11" s="7" t="n">
        <v>365</v>
      </c>
      <c r="AC11" s="7" t="inlineStr">
        <is>
          <t>2026-07-02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2026-07-11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n"/>
      <c r="U12" s="4" t="n"/>
      <c r="V12" s="4" t="n"/>
      <c r="X12" s="4" t="n">
        <v>71</v>
      </c>
      <c r="Y12" s="4" t="inlineStr">
        <is>
          <t>2026-07-02</t>
        </is>
      </c>
      <c r="Z12" s="4" t="inlineStr">
        <is>
          <t>com.logistics.rider.talabat</t>
        </is>
      </c>
      <c r="AB12" s="4" t="n">
        <v>37</v>
      </c>
      <c r="AC12" s="4" t="inlineStr">
        <is>
          <t>2026-07-02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2026-07-12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n"/>
      <c r="U13" s="7" t="n"/>
      <c r="V13" s="7" t="n"/>
      <c r="X13" s="7" t="n">
        <v>26</v>
      </c>
      <c r="Y13" s="7" t="inlineStr">
        <is>
          <t>2026-07-02</t>
        </is>
      </c>
      <c r="Z13" s="7" t="inlineStr">
        <is>
          <t>com.logistics.rider.pedidosya</t>
        </is>
      </c>
      <c r="AB13" s="7" t="n">
        <v>180</v>
      </c>
      <c r="AC13" s="7" t="inlineStr">
        <is>
          <t>2026-07-02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2026-07-13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>
        <v>20</v>
      </c>
      <c r="Y14" s="4" t="inlineStr">
        <is>
          <t>2026-07-02</t>
        </is>
      </c>
      <c r="Z14" s="4" t="inlineStr">
        <is>
          <t>com.logistics.rider.hungerstation</t>
        </is>
      </c>
      <c r="AB14" s="4" t="n">
        <v>49</v>
      </c>
      <c r="AC14" s="4" t="inlineStr">
        <is>
          <t>2026-07-02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2026-07-14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80</v>
      </c>
      <c r="Y15" s="7" t="inlineStr">
        <is>
          <t>2026-07-02</t>
        </is>
      </c>
      <c r="Z15" s="7" t="inlineStr">
        <is>
          <t>com.logistics.rider.glovo</t>
        </is>
      </c>
      <c r="AB15" s="7" t="n">
        <v>47</v>
      </c>
      <c r="AC15" s="7" t="inlineStr">
        <is>
          <t>2026-07-02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2026-07-15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11</v>
      </c>
      <c r="Y16" s="4" t="inlineStr">
        <is>
          <t>2026-07-02</t>
        </is>
      </c>
      <c r="Z16" s="4" t="inlineStr">
        <is>
          <t>com.logistics.rider.efood</t>
        </is>
      </c>
      <c r="AB16" s="4" t="n">
        <v>168</v>
      </c>
      <c r="AC16" s="4" t="inlineStr">
        <is>
          <t>2026-07-02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2026-07-16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3</v>
      </c>
      <c r="Y17" s="7" t="inlineStr">
        <is>
          <t>2026-07-02</t>
        </is>
      </c>
      <c r="Z17" s="7" t="inlineStr">
        <is>
          <t>com.logistics.rider.foody</t>
        </is>
      </c>
      <c r="AB17" s="7" t="n">
        <v>1</v>
      </c>
      <c r="AC17" s="7" t="inlineStr">
        <is>
          <t>2026-07-02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2026-07-17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/>
      <c r="Y18" s="4" t="n"/>
      <c r="Z18" s="4" t="n"/>
      <c r="AB18" s="4" t="n">
        <v>9</v>
      </c>
      <c r="AC18" s="4" t="inlineStr">
        <is>
          <t>2026-07-02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2026-07-18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/>
      <c r="Y19" s="7" t="n"/>
      <c r="Z19" s="7" t="n"/>
      <c r="AB19" s="7" t="n">
        <v>2</v>
      </c>
      <c r="AC19" s="7" t="inlineStr">
        <is>
          <t>2026-07-02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2026-07-19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7" t="n"/>
      <c r="B21" s="7" t="n"/>
      <c r="C21" s="7" t="inlineStr">
        <is>
          <t>2026-07-20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</row>
    <row r="22">
      <c r="A22" s="7" t="n"/>
      <c r="B22" s="7" t="n"/>
      <c r="C22" s="4" t="inlineStr">
        <is>
          <t>2026-07-21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7" t="n"/>
      <c r="B23" s="7" t="n"/>
      <c r="C23" s="7" t="inlineStr">
        <is>
          <t>2026-07-22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</row>
    <row r="24">
      <c r="A24" s="7" t="n"/>
      <c r="B24" s="7" t="n"/>
      <c r="C24" s="4" t="inlineStr">
        <is>
          <t>2026-07-23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</row>
    <row r="25">
      <c r="A25" s="7" t="n"/>
      <c r="B25" s="7" t="n"/>
      <c r="C25" s="7" t="inlineStr">
        <is>
          <t>2026-07-24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</row>
    <row r="26">
      <c r="A26" s="7" t="n"/>
      <c r="B26" s="7" t="n"/>
      <c r="C26" s="4" t="inlineStr">
        <is>
          <t>2026-07-25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7" t="n"/>
      <c r="B27" s="7" t="n"/>
      <c r="C27" s="7" t="inlineStr">
        <is>
          <t>2026-07-26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</row>
    <row r="28">
      <c r="A28" s="7" t="n"/>
      <c r="B28" s="7" t="n"/>
      <c r="C28" s="4" t="inlineStr">
        <is>
          <t>2026-07-27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7" t="n"/>
      <c r="B29" s="7" t="n"/>
      <c r="C29" s="7" t="inlineStr">
        <is>
          <t>2026-07-28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</row>
    <row r="30">
      <c r="A30" s="7" t="n"/>
      <c r="B30" s="7" t="n"/>
      <c r="C30" s="4" t="inlineStr">
        <is>
          <t>2026-07-29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</row>
    <row r="31">
      <c r="A31" s="7" t="n"/>
      <c r="B31" s="7" t="n"/>
      <c r="C31" s="7" t="inlineStr">
        <is>
          <t>2026-07-30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</row>
    <row r="32">
      <c r="A32" s="7" t="n"/>
      <c r="B32" s="7" t="n"/>
      <c r="C32" s="4" t="inlineStr">
        <is>
          <t>2026-07-31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July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</row>
    <row r="34">
      <c r="D34" s="26">
        <f>AVERAGE(D2:D3)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AVERAGE(H2:H3)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2026-07-03T16:12:42Z</dcterms:created>
  <dcterms:modified xsi:type="dcterms:W3CDTF">2026-07-03T16:12:42Z</dcterms:modified>
</cp:coreProperties>
</file>