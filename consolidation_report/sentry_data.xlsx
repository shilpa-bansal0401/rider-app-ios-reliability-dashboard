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0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0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0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Data copied from last month.
Update manually each month.</t>
      </text>
    </comment>
    <comment ref="E1" authorId="0" shapeId="0">
      <text>
        <t>Data copied from last month.
Update manually each month.</t>
      </text>
    </comment>
    <comment ref="F1" authorId="0" shapeId="0">
      <text>
        <t>Data copied from last month.
Update manually each month.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ROUND((1-SUMIFS(Dashboard!$X:$X,Dashboard!$AA:$AA,"*"&amp;$A2&amp;"*")/SUMIFS(Dashboard!$V:$V,Dashboard!$U:$U,"*"&amp;$A2&amp;"*"))*100,2)</f>
        <v/>
      </c>
      <c r="C2" s="4">
        <f>ROUND((1-SUMIFS(Dashboard!$AC:$AC,Dashboard!$AF:$AF,"*"&amp;$A2&amp;"*")/SUMIFS(Dashboard!$V:$V,Dashboard!$U:$U,"*"&amp;$A2&amp;"*"))*100,2)</f>
        <v/>
      </c>
      <c r="D2" s="4" t="n">
        <v>76.09999999999999</v>
      </c>
      <c r="E2" s="4" t="n">
        <v>4.42</v>
      </c>
      <c r="F2" s="4" t="n">
        <v>0.92</v>
      </c>
      <c r="G2" s="4" t="n">
        <v>0.6</v>
      </c>
      <c r="H2" s="4" t="n">
        <v>1.26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ROUND((1-SUMIFS(Dashboard!$X:$X,Dashboard!$AA:$AA,"*"&amp;$A3&amp;"*")/SUMIFS(Dashboard!$V:$V,Dashboard!$U:$U,"*"&amp;$A3&amp;"*"))*100,2)</f>
        <v/>
      </c>
      <c r="C3" s="7">
        <f>ROUND((1-SUMIFS(Dashboard!$AC:$AC,Dashboard!$AF:$AF,"*"&amp;$A3&amp;"*")/SUMIFS(Dashboard!$V:$V,Dashboard!$U:$U,"*"&amp;$A3&amp;"*"))*100,2)</f>
        <v/>
      </c>
      <c r="D3" s="7" t="n">
        <v>80.3</v>
      </c>
      <c r="E3" s="7" t="n">
        <v>4.42</v>
      </c>
      <c r="F3" s="7" t="n">
        <v>0.92</v>
      </c>
      <c r="G3" s="7" t="n">
        <v>0.6</v>
      </c>
      <c r="H3" s="7" t="n">
        <v>1.26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ROUND((1-SUMIFS(Dashboard!$X:$X,Dashboard!$AA:$AA,"*"&amp;$A4&amp;"*")/SUMIFS(Dashboard!$V:$V,Dashboard!$U:$U,"*"&amp;$A4&amp;"*"))*100,2)</f>
        <v/>
      </c>
      <c r="C4" s="4">
        <f>ROUND((1-SUMIFS(Dashboard!$AC:$AC,Dashboard!$AF:$AF,"*"&amp;$A4&amp;"*")/SUMIFS(Dashboard!$V:$V,Dashboard!$U:$U,"*"&amp;$A4&amp;"*"))*100,2)</f>
        <v/>
      </c>
      <c r="D4" s="4" t="n">
        <v>76</v>
      </c>
      <c r="E4" s="4" t="n">
        <v>4.42</v>
      </c>
      <c r="F4" s="4" t="n">
        <v>0.92</v>
      </c>
      <c r="G4" s="4" t="n">
        <v>0.6</v>
      </c>
      <c r="H4" s="4" t="n">
        <v>1.26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ROUND((1-SUMIFS(Dashboard!$X:$X,Dashboard!$AA:$AA,"*"&amp;$A5&amp;"*")/SUMIFS(Dashboard!$V:$V,Dashboard!$U:$U,"*"&amp;$A5&amp;"*"))*100,2)</f>
        <v/>
      </c>
      <c r="C5" s="7">
        <f>ROUND((1-SUMIFS(Dashboard!$AC:$AC,Dashboard!$AF:$AF,"*"&amp;$A5&amp;"*")/SUMIFS(Dashboard!$V:$V,Dashboard!$U:$U,"*"&amp;$A5&amp;"*"))*100,2)</f>
        <v/>
      </c>
      <c r="D5" s="7" t="n">
        <v>66.59999999999999</v>
      </c>
      <c r="E5" s="7" t="n">
        <v>4.42</v>
      </c>
      <c r="F5" s="7" t="n">
        <v>0.92</v>
      </c>
      <c r="G5" s="7" t="n">
        <v>0.6</v>
      </c>
      <c r="H5" s="7" t="n">
        <v>1.26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ROUND((1-SUMIFS(Dashboard!$X:$X,Dashboard!$AA:$AA,"*"&amp;$A6&amp;"*")/SUMIFS(Dashboard!$V:$V,Dashboard!$U:$U,"*"&amp;$A6&amp;"*"))*100,2)</f>
        <v/>
      </c>
      <c r="C6" s="4">
        <f>ROUND((1-SUMIFS(Dashboard!$AC:$AC,Dashboard!$AF:$AF,"*"&amp;$A6&amp;"*")/SUMIFS(Dashboard!$V:$V,Dashboard!$U:$U,"*"&amp;$A6&amp;"*"))*100,2)</f>
        <v/>
      </c>
      <c r="D6" s="4" t="n">
        <v>76</v>
      </c>
      <c r="E6" s="4" t="n">
        <v>4.42</v>
      </c>
      <c r="F6" s="4" t="n">
        <v>0.92</v>
      </c>
      <c r="G6" s="4" t="n">
        <v>0.6</v>
      </c>
      <c r="H6" s="4" t="n">
        <v>1.26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ROUND((1-SUMIFS(Dashboard!$X:$X,Dashboard!$AA:$AA,"*"&amp;$A7&amp;"*")/SUMIFS(Dashboard!$V:$V,Dashboard!$U:$U,"*"&amp;$A7&amp;"*"))*100,2)</f>
        <v/>
      </c>
      <c r="C7" s="7">
        <f>ROUND((1-SUMIFS(Dashboard!$AC:$AC,Dashboard!$AF:$AF,"*"&amp;$A7&amp;"*")/SUMIFS(Dashboard!$V:$V,Dashboard!$U:$U,"*"&amp;$A7&amp;"*"))*100,2)</f>
        <v/>
      </c>
      <c r="D7" s="7" t="n">
        <v>76.40000000000001</v>
      </c>
      <c r="E7" s="7" t="n">
        <v>4.42</v>
      </c>
      <c r="F7" s="7" t="n">
        <v>0.92</v>
      </c>
      <c r="G7" s="7" t="n">
        <v>0.6</v>
      </c>
      <c r="H7" s="7" t="n">
        <v>1.26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ROUND((1-SUMIFS(Dashboard!$X:$X,Dashboard!$AA:$AA,"*"&amp;$A8&amp;"*")/SUMIFS(Dashboard!$V:$V,Dashboard!$U:$U,"*"&amp;$A8&amp;"*"))*100,2)</f>
        <v/>
      </c>
      <c r="C8" s="4">
        <f>ROUND((1-SUMIFS(Dashboard!$AC:$AC,Dashboard!$AF:$AF,"*"&amp;$A8&amp;"*")/SUMIFS(Dashboard!$V:$V,Dashboard!$U:$U,"*"&amp;$A8&amp;"*"))*100,2)</f>
        <v/>
      </c>
      <c r="D8" s="4" t="n">
        <v>76.2</v>
      </c>
      <c r="E8" s="4" t="n">
        <v>4.42</v>
      </c>
      <c r="F8" s="4" t="n">
        <v>0.92</v>
      </c>
      <c r="G8" s="4" t="n">
        <v>0.6</v>
      </c>
      <c r="H8" s="4" t="n">
        <v>1.26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ROUND((1-SUMIFS(Dashboard!$X:$X,Dashboard!$AA:$AA,"*"&amp;$A9&amp;"*")/SUMIFS(Dashboard!$V:$V,Dashboard!$U:$U,"*"&amp;$A9&amp;"*"))*100,2)</f>
        <v/>
      </c>
      <c r="C9" s="7">
        <f>ROUND((1-SUMIFS(Dashboard!$AC:$AC,Dashboard!$AF:$AF,"*"&amp;$A9&amp;"*")/SUMIFS(Dashboard!$V:$V,Dashboard!$U:$U,"*"&amp;$A9&amp;"*"))*100,2)</f>
        <v/>
      </c>
      <c r="D9" s="7" t="n">
        <v>75.90000000000001</v>
      </c>
      <c r="E9" s="7" t="n">
        <v>4.42</v>
      </c>
      <c r="F9" s="7" t="n">
        <v>0.92</v>
      </c>
      <c r="G9" s="7" t="n">
        <v>0.6</v>
      </c>
      <c r="H9" s="7" t="n">
        <v>1.26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ROUND((1-SUMIFS(Dashboard!$X:$X,Dashboard!$AA:$AA,"*"&amp;$A10&amp;"*")/SUMIFS(Dashboard!$V:$V,Dashboard!$U:$U,"*"&amp;$A10&amp;"*"))*100,2)</f>
        <v/>
      </c>
      <c r="C10" s="4">
        <f>ROUND((1-SUMIFS(Dashboard!$AC:$AC,Dashboard!$AF:$AF,"*"&amp;$A10&amp;"*")/SUMIFS(Dashboard!$V:$V,Dashboard!$U:$U,"*"&amp;$A10&amp;"*"))*100,2)</f>
        <v/>
      </c>
      <c r="D10" s="4" t="n">
        <v>66.40000000000001</v>
      </c>
      <c r="E10" s="4" t="n">
        <v>4.42</v>
      </c>
      <c r="F10" s="4" t="n">
        <v>0.92</v>
      </c>
      <c r="G10" s="4" t="n">
        <v>0.6</v>
      </c>
      <c r="H10" s="4" t="n">
        <v>1.26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ROUND((1-SUMIFS(Dashboard!$X:$X,Dashboard!$AA:$AA,"*"&amp;$A11&amp;"*")/SUMIFS(Dashboard!$V:$V,Dashboard!$U:$U,"*"&amp;$A11&amp;"*"))*100,2)</f>
        <v/>
      </c>
      <c r="C11" s="7">
        <f>ROUND((1-SUMIFS(Dashboard!$AC:$AC,Dashboard!$AF:$AF,"*"&amp;$A11&amp;"*")/SUMIFS(Dashboard!$V:$V,Dashboard!$U:$U,"*"&amp;$A11&amp;"*"))*100,2)</f>
        <v/>
      </c>
      <c r="D11" s="7" t="n">
        <v>66.3</v>
      </c>
      <c r="E11" s="7" t="n">
        <v>4.42</v>
      </c>
      <c r="F11" s="7" t="n">
        <v>0.92</v>
      </c>
      <c r="G11" s="7" t="n">
        <v>0.6</v>
      </c>
      <c r="H11" s="7" t="n">
        <v>1.26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9">
        <f>ROUND(SUMPRODUCT(B2:B11,N2:N11),2)</f>
        <v/>
      </c>
      <c r="C12" s="9">
        <f>ROUND(SUMPRODUCT(C2:C11,N2:N11),2)</f>
        <v/>
      </c>
      <c r="D12" s="9">
        <f>ROUND(SUMPRODUCT(D2:D11,N2:N11),2)</f>
        <v/>
      </c>
      <c r="E12" s="9">
        <f>ROUND(SUMPRODUCT(E2:E11,N2:N11),2)</f>
        <v/>
      </c>
      <c r="F12" s="9">
        <f>ROUND(SUMPRODUCT(F2:F11,N2:N11),2)</f>
        <v/>
      </c>
      <c r="G12" s="9">
        <f>ROUND(SUMPRODUCT(G2:G11,N2:N11),2)</f>
        <v/>
      </c>
      <c r="H12" s="9">
        <f>ROUND(SUMPRODUCT(H2:H11,N2:N11),2)</f>
        <v/>
      </c>
    </row>
    <row r="13">
      <c r="A13" s="10" t="inlineStr">
        <is>
          <t>AQS</t>
        </is>
      </c>
      <c r="B13" s="10">
        <f>MIN(100,MAX(0,(((B12-99.7)/(99.9-99.7))*50)+50))*35%</f>
        <v/>
      </c>
      <c r="C13" s="10">
        <f>MIN(100,MAX(0,(((C12-99.7)/(99.9-99.7))*50)+50))*25%</f>
        <v/>
      </c>
      <c r="D13" s="10">
        <f>MIN(100,MAX(0,(((D12-75)/(60-75))*50)+50))*2%</f>
        <v/>
      </c>
      <c r="E13" s="10">
        <f>MIN(100,MAX(0,(((E12-4)/(2-4))*50)+50))*10%</f>
        <v/>
      </c>
      <c r="F13" s="10">
        <f>MIN(100,MAX(0,(((F12-1.5)/(0.5-1.5))*50)+50))*10%</f>
        <v/>
      </c>
      <c r="G13" s="10">
        <f>MIN(100,MAX(0,(((G12-3)/(1-3))*50)+50))*13%</f>
        <v/>
      </c>
      <c r="H13" s="10">
        <f>MIN(100,MAX(0,(((H12-2)/(1-2))*50)+50))*5%</f>
        <v/>
      </c>
      <c r="M13" s="10">
        <f>SUM(M2:M11)</f>
        <v/>
      </c>
      <c r="N13" s="11">
        <f>SUM(N2:N11)</f>
        <v/>
      </c>
    </row>
    <row r="15">
      <c r="A15" s="12" t="inlineStr">
        <is>
          <t>FINAL AQS =</t>
        </is>
      </c>
      <c r="B15" s="13">
        <f>SUM(B13:H13)</f>
        <v/>
      </c>
    </row>
    <row r="17" ht="30" customHeight="1">
      <c r="A17" s="14" t="inlineStr">
        <is>
          <t>⚠  App size, ASTI and STTI are copied from last month's report. Update these columns manually before sharing.</t>
        </is>
      </c>
      <c r="B17" s="15" t="n"/>
      <c r="C17" s="15" t="n"/>
      <c r="D17" s="15" t="n"/>
      <c r="E17" s="15" t="n"/>
      <c r="F17" s="15" t="n"/>
      <c r="G17" s="15" t="n"/>
      <c r="H17" s="16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16" customWidth="1" min="8" max="8"/>
    <col width="22" customWidth="1" min="9" max="9"/>
    <col width="4" customWidth="1" min="10" max="10"/>
    <col width="24" customWidth="1" min="11" max="11"/>
    <col width="14" customWidth="1" min="12" max="12"/>
    <col width="20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22" customWidth="1" min="27" max="27"/>
    <col width="4" customWidth="1" min="28" max="28"/>
    <col width="22" customWidth="1" min="29" max="29"/>
    <col width="22" customWidth="1" min="30" max="30"/>
    <col width="22" customWidth="1" min="31" max="31"/>
    <col width="22" customWidth="1" min="32" max="32"/>
  </cols>
  <sheetData>
    <row r="1" ht="45" customHeight="1">
      <c r="A1" s="17" t="inlineStr">
        <is>
          <t>CFU part in AQS</t>
        </is>
      </c>
      <c r="B1" s="18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1" t="inlineStr">
        <is>
          <t>CFU AQS Score</t>
        </is>
      </c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1" t="inlineStr">
        <is>
          <t>Hang-free AQS score</t>
        </is>
      </c>
      <c r="N1" s="1" t="inlineStr">
        <is>
          <t>Projected AQS including hangs</t>
        </is>
      </c>
      <c r="T1" s="19" t="inlineStr">
        <is>
          <t>dt</t>
        </is>
      </c>
      <c r="U1" s="19" t="inlineStr">
        <is>
          <t>appId</t>
        </is>
      </c>
      <c r="V1" s="19" t="inlineStr">
        <is>
          <t>user_count</t>
        </is>
      </c>
      <c r="X1" s="20" t="inlineStr">
        <is>
          <t>CRASH_USERS</t>
        </is>
      </c>
      <c r="Y1" s="20" t="inlineStr">
        <is>
          <t>day</t>
        </is>
      </c>
      <c r="Z1" s="20" t="inlineStr">
        <is>
          <t>timestamp.to_day</t>
        </is>
      </c>
      <c r="AA1" s="20" t="inlineStr">
        <is>
          <t>Brand</t>
        </is>
      </c>
      <c r="AC1" s="21" t="inlineStr">
        <is>
          <t>HANG_USERS</t>
        </is>
      </c>
      <c r="AD1" s="21" t="inlineStr">
        <is>
          <t>day</t>
        </is>
      </c>
      <c r="AE1" s="21" t="inlineStr">
        <is>
          <t>timestamp.to_day</t>
        </is>
      </c>
      <c r="AF1" s="21" t="inlineStr">
        <is>
          <t>Brand</t>
        </is>
      </c>
    </row>
    <row r="2">
      <c r="A2" s="17" t="inlineStr">
        <is>
          <t>base AQS score</t>
        </is>
      </c>
      <c r="B2" s="18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SUMIFS(X:X,AA:AA,"*"&amp;$B$10&amp;"*",Y:Y,C2)</f>
        <v/>
      </c>
      <c r="F2" s="4" t="n"/>
      <c r="G2" s="4">
        <f>ROUND((1-E2/D2)*100,2)</f>
        <v/>
      </c>
      <c r="H2" s="4">
        <f>MIN(1,(G2-$B$3)/($B$4-$B$3))*$B$1</f>
        <v/>
      </c>
      <c r="I2" s="4" t="n"/>
      <c r="J2" s="4" t="n"/>
      <c r="K2" s="4">
        <f>SUMIFS(AC:AC,AF:AF,"*"&amp;$B$10&amp;"*",AD:AD,C2)</f>
        <v/>
      </c>
      <c r="L2" s="4">
        <f>ROUND(100*(1-K2/D2),2)</f>
        <v/>
      </c>
      <c r="M2" s="4">
        <f>MAX(0,(L2-$B$6)/($B$7-$B$6)*$B$8)</f>
        <v/>
      </c>
      <c r="N2" s="4">
        <f>$B$2+H2+M2</f>
        <v/>
      </c>
      <c r="T2" s="4" t="inlineStr">
        <is>
          <t>2026-06-01</t>
        </is>
      </c>
      <c r="U2" s="4" t="inlineStr"/>
      <c r="V2" s="4" t="n">
        <v>1</v>
      </c>
      <c r="X2" s="4" t="n">
        <v>13</v>
      </c>
      <c r="Y2" s="4" t="inlineStr">
        <is>
          <t>2026-06-01</t>
        </is>
      </c>
      <c r="Z2" s="4" t="inlineStr">
        <is>
          <t>2026-06-01T00:00:00+00:00</t>
        </is>
      </c>
      <c r="AA2" s="4" t="inlineStr">
        <is>
          <t>com.logistics.rider.foodora</t>
        </is>
      </c>
      <c r="AC2" s="4" t="n">
        <v>2</v>
      </c>
      <c r="AD2" s="4" t="inlineStr">
        <is>
          <t>2026-06-01</t>
        </is>
      </c>
      <c r="AE2" s="4" t="inlineStr">
        <is>
          <t>2026-06-01T00:00:00+00:00</t>
        </is>
      </c>
      <c r="AF2" s="4" t="inlineStr">
        <is>
          <t>com.logistics.rider.woowabros</t>
        </is>
      </c>
    </row>
    <row r="3">
      <c r="A3" s="17" t="inlineStr">
        <is>
          <t>CFU minimum</t>
        </is>
      </c>
      <c r="B3" s="18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SUMIFS(X:X,AA:AA,"*"&amp;$B$10&amp;"*",Y:Y,C3)</f>
        <v/>
      </c>
      <c r="F3" s="7" t="n"/>
      <c r="G3" s="7">
        <f>ROUND((1-E3/D3)*100,2)</f>
        <v/>
      </c>
      <c r="H3" s="7">
        <f>MIN(1,(G3-$B$3)/($B$4-$B$3))*$B$1</f>
        <v/>
      </c>
      <c r="I3" s="7" t="n"/>
      <c r="J3" s="7" t="n"/>
      <c r="K3" s="7">
        <f>SUMIFS(AC:AC,AF:AF,"*"&amp;$B$10&amp;"*",AD:AD,C3)</f>
        <v/>
      </c>
      <c r="L3" s="7">
        <f>ROUND(100*(1-K3/D3),2)</f>
        <v/>
      </c>
      <c r="M3" s="7">
        <f>MAX(0,(L3-$B$6)/($B$7-$B$6)*$B$8)</f>
        <v/>
      </c>
      <c r="N3" s="7">
        <f>$B$2+H3+M3</f>
        <v/>
      </c>
      <c r="T3" s="7" t="inlineStr">
        <is>
          <t>2026-06-02</t>
        </is>
      </c>
      <c r="U3" s="7" t="inlineStr"/>
      <c r="V3" s="7" t="n">
        <v>1</v>
      </c>
      <c r="X3" s="7" t="n">
        <v>103</v>
      </c>
      <c r="Y3" s="7" t="inlineStr">
        <is>
          <t>2026-06-01</t>
        </is>
      </c>
      <c r="Z3" s="7" t="inlineStr">
        <is>
          <t>2026-06-01T00:00:00+00:00</t>
        </is>
      </c>
      <c r="AA3" s="7" t="inlineStr">
        <is>
          <t>com.logistics.rider.foodpanda</t>
        </is>
      </c>
      <c r="AC3" s="7" t="n">
        <v>4</v>
      </c>
      <c r="AD3" s="7" t="inlineStr">
        <is>
          <t>2026-06-01</t>
        </is>
      </c>
      <c r="AE3" s="7" t="inlineStr">
        <is>
          <t>2026-06-01T00:00:00+00:00</t>
        </is>
      </c>
      <c r="AF3" s="7" t="inlineStr">
        <is>
          <t>com.logistics.rider.efood</t>
        </is>
      </c>
    </row>
    <row r="4">
      <c r="A4" s="17" t="inlineStr">
        <is>
          <t>CFU maximum</t>
        </is>
      </c>
      <c r="B4" s="18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SUMIFS(X:X,AA:AA,"*"&amp;$B$10&amp;"*",Y:Y,C4)</f>
        <v/>
      </c>
      <c r="F4" s="4" t="n"/>
      <c r="G4" s="4">
        <f>ROUND((1-E4/D4)*100,2)</f>
        <v/>
      </c>
      <c r="H4" s="4">
        <f>MIN(1,(G4-$B$3)/($B$4-$B$3))*$B$1</f>
        <v/>
      </c>
      <c r="I4" s="4" t="n"/>
      <c r="J4" s="4" t="n"/>
      <c r="K4" s="4">
        <f>SUMIFS(AC:AC,AF:AF,"*"&amp;$B$10&amp;"*",AD:AD,C4)</f>
        <v/>
      </c>
      <c r="L4" s="4">
        <f>ROUND(100*(1-K4/D4),2)</f>
        <v/>
      </c>
      <c r="M4" s="4">
        <f>MAX(0,(L4-$B$6)/($B$7-$B$6)*$B$8)</f>
        <v/>
      </c>
      <c r="N4" s="4">
        <f>$B$2+H4+M4</f>
        <v/>
      </c>
      <c r="T4" s="4" t="inlineStr">
        <is>
          <t>2026-06-03</t>
        </is>
      </c>
      <c r="U4" s="4" t="inlineStr"/>
      <c r="V4" s="4" t="n">
        <v>1</v>
      </c>
      <c r="X4" s="4" t="n">
        <v>67</v>
      </c>
      <c r="Y4" s="4" t="inlineStr">
        <is>
          <t>2026-06-01</t>
        </is>
      </c>
      <c r="Z4" s="4" t="inlineStr">
        <is>
          <t>2026-06-01T00:00:00+00:00</t>
        </is>
      </c>
      <c r="AA4" s="4" t="inlineStr"/>
      <c r="AC4" s="4" t="n">
        <v>47</v>
      </c>
      <c r="AD4" s="4" t="inlineStr">
        <is>
          <t>2026-06-01</t>
        </is>
      </c>
      <c r="AE4" s="4" t="inlineStr">
        <is>
          <t>2026-06-01T00:00:00+00:00</t>
        </is>
      </c>
      <c r="AF4" s="4" t="inlineStr">
        <is>
          <t>com.logistics.rider.hungerstation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SUMIFS(X:X,AA:AA,"*"&amp;$B$10&amp;"*",Y:Y,C5)</f>
        <v/>
      </c>
      <c r="F5" s="7" t="n"/>
      <c r="G5" s="7">
        <f>ROUND((1-E5/D5)*100,2)</f>
        <v/>
      </c>
      <c r="H5" s="7">
        <f>MIN(1,(G5-$B$3)/($B$4-$B$3))*$B$1</f>
        <v/>
      </c>
      <c r="I5" s="7" t="n"/>
      <c r="J5" s="7" t="n"/>
      <c r="K5" s="7">
        <f>SUMIFS(AC:AC,AF:AF,"*"&amp;$B$10&amp;"*",AD:AD,C5)</f>
        <v/>
      </c>
      <c r="L5" s="7">
        <f>ROUND(100*(1-K5/D5),2)</f>
        <v/>
      </c>
      <c r="M5" s="7">
        <f>MAX(0,(L5-$B$6)/($B$7-$B$6)*$B$8)</f>
        <v/>
      </c>
      <c r="N5" s="7">
        <f>$B$2+H5+M5</f>
        <v/>
      </c>
      <c r="T5" s="7" t="inlineStr">
        <is>
          <t>2026-06-04</t>
        </is>
      </c>
      <c r="U5" s="7" t="inlineStr"/>
      <c r="V5" s="7" t="n">
        <v>1</v>
      </c>
      <c r="X5" s="7" t="n">
        <v>30</v>
      </c>
      <c r="Y5" s="7" t="inlineStr">
        <is>
          <t>2026-06-01</t>
        </is>
      </c>
      <c r="Z5" s="7" t="inlineStr">
        <is>
          <t>2026-06-01T00:00:00+00:00</t>
        </is>
      </c>
      <c r="AA5" s="7" t="inlineStr">
        <is>
          <t>com.logistics.rider.pedidosya</t>
        </is>
      </c>
      <c r="AC5" s="7" t="n">
        <v>168</v>
      </c>
      <c r="AD5" s="7" t="inlineStr">
        <is>
          <t>2026-06-01</t>
        </is>
      </c>
      <c r="AE5" s="7" t="inlineStr">
        <is>
          <t>2026-06-01T00:00:00+00:00</t>
        </is>
      </c>
      <c r="AF5" s="7" t="inlineStr">
        <is>
          <t>com.logistics.rider.talabat</t>
        </is>
      </c>
    </row>
    <row r="6">
      <c r="A6" s="17" t="inlineStr">
        <is>
          <t>Hang minimum</t>
        </is>
      </c>
      <c r="B6" s="18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SUMIFS(X:X,AA:AA,"*"&amp;$B$10&amp;"*",Y:Y,C6)</f>
        <v/>
      </c>
      <c r="F6" s="4" t="n"/>
      <c r="G6" s="4">
        <f>ROUND((1-E6/D6)*100,2)</f>
        <v/>
      </c>
      <c r="H6" s="4">
        <f>MIN(1,(G6-$B$3)/($B$4-$B$3))*$B$1</f>
        <v/>
      </c>
      <c r="I6" s="4" t="n"/>
      <c r="J6" s="4" t="n"/>
      <c r="K6" s="4">
        <f>SUMIFS(AC:AC,AF:AF,"*"&amp;$B$10&amp;"*",AD:AD,C6)</f>
        <v/>
      </c>
      <c r="L6" s="4">
        <f>ROUND(100*(1-K6/D6),2)</f>
        <v/>
      </c>
      <c r="M6" s="4">
        <f>MAX(0,(L6-$B$6)/($B$7-$B$6)*$B$8)</f>
        <v/>
      </c>
      <c r="N6" s="4">
        <f>$B$2+H6+M6</f>
        <v/>
      </c>
      <c r="T6" s="4" t="inlineStr">
        <is>
          <t>2026-06-05</t>
        </is>
      </c>
      <c r="U6" s="4" t="inlineStr"/>
      <c r="V6" s="4" t="n">
        <v>1</v>
      </c>
      <c r="X6" s="4" t="n">
        <v>15</v>
      </c>
      <c r="Y6" s="4" t="inlineStr">
        <is>
          <t>2026-06-01</t>
        </is>
      </c>
      <c r="Z6" s="4" t="inlineStr">
        <is>
          <t>2026-06-01T00:00:00+00:00</t>
        </is>
      </c>
      <c r="AA6" s="4" t="inlineStr">
        <is>
          <t>com.logistics.rider.efood</t>
        </is>
      </c>
      <c r="AC6" s="4" t="n">
        <v>1</v>
      </c>
      <c r="AD6" s="4" t="inlineStr">
        <is>
          <t>2026-06-01</t>
        </is>
      </c>
      <c r="AE6" s="4" t="inlineStr">
        <is>
          <t>2026-06-01T00:00:00+00:00</t>
        </is>
      </c>
      <c r="AF6" s="4" t="inlineStr">
        <is>
          <t>com.logistics.rider.foody</t>
        </is>
      </c>
    </row>
    <row r="7">
      <c r="A7" s="17" t="inlineStr">
        <is>
          <t>Hang maximum</t>
        </is>
      </c>
      <c r="B7" s="18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SUMIFS(X:X,AA:AA,"*"&amp;$B$10&amp;"*",Y:Y,C7)</f>
        <v/>
      </c>
      <c r="F7" s="7" t="n"/>
      <c r="G7" s="7">
        <f>ROUND((1-E7/D7)*100,2)</f>
        <v/>
      </c>
      <c r="H7" s="7">
        <f>MIN(1,(G7-$B$3)/($B$4-$B$3))*$B$1</f>
        <v/>
      </c>
      <c r="I7" s="7" t="n"/>
      <c r="J7" s="7" t="n"/>
      <c r="K7" s="7">
        <f>SUMIFS(AC:AC,AF:AF,"*"&amp;$B$10&amp;"*",AD:AD,C7)</f>
        <v/>
      </c>
      <c r="L7" s="7">
        <f>ROUND(100*(1-K7/D7),2)</f>
        <v/>
      </c>
      <c r="M7" s="7">
        <f>MAX(0,(L7-$B$6)/($B$7-$B$6)*$B$8)</f>
        <v/>
      </c>
      <c r="N7" s="7">
        <f>$B$2+H7+M7</f>
        <v/>
      </c>
      <c r="T7" s="7" t="inlineStr">
        <is>
          <t>2026-06-06</t>
        </is>
      </c>
      <c r="U7" s="7" t="inlineStr"/>
      <c r="V7" s="7" t="n">
        <v>1</v>
      </c>
      <c r="X7" s="7" t="n">
        <v>1</v>
      </c>
      <c r="Y7" s="7" t="inlineStr">
        <is>
          <t>2026-06-01</t>
        </is>
      </c>
      <c r="Z7" s="7" t="inlineStr">
        <is>
          <t>2026-06-01T00:00:00+00:00</t>
        </is>
      </c>
      <c r="AA7" s="7" t="inlineStr">
        <is>
          <t>com.logistics.rider.foody</t>
        </is>
      </c>
      <c r="AC7" s="7" t="n">
        <v>27</v>
      </c>
      <c r="AD7" s="7" t="inlineStr">
        <is>
          <t>2026-06-01</t>
        </is>
      </c>
      <c r="AE7" s="7" t="inlineStr">
        <is>
          <t>2026-06-01T00:00:00+00:00</t>
        </is>
      </c>
      <c r="AF7" s="7" t="inlineStr">
        <is>
          <t>com.logistics.rider.foodora</t>
        </is>
      </c>
    </row>
    <row r="8">
      <c r="A8" s="17" t="inlineStr">
        <is>
          <t>Hang part in AQS</t>
        </is>
      </c>
      <c r="B8" s="18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SUMIFS(X:X,AA:AA,"*"&amp;$B$10&amp;"*",Y:Y,C8)</f>
        <v/>
      </c>
      <c r="F8" s="4" t="n"/>
      <c r="G8" s="4">
        <f>ROUND((1-E8/D8)*100,2)</f>
        <v/>
      </c>
      <c r="H8" s="4">
        <f>MIN(1,(G8-$B$3)/($B$4-$B$3))*$B$1</f>
        <v/>
      </c>
      <c r="I8" s="4" t="n"/>
      <c r="J8" s="4" t="n"/>
      <c r="K8" s="4">
        <f>SUMIFS(AC:AC,AF:AF,"*"&amp;$B$10&amp;"*",AD:AD,C8)</f>
        <v/>
      </c>
      <c r="L8" s="4">
        <f>ROUND(100*(1-K8/D8),2)</f>
        <v/>
      </c>
      <c r="M8" s="4">
        <f>MAX(0,(L8-$B$6)/($B$7-$B$6)*$B$8)</f>
        <v/>
      </c>
      <c r="N8" s="4">
        <f>$B$2+H8+M8</f>
        <v/>
      </c>
      <c r="T8" s="4" t="inlineStr">
        <is>
          <t>2026-06-07</t>
        </is>
      </c>
      <c r="U8" s="4" t="inlineStr"/>
      <c r="V8" s="4" t="n">
        <v>1</v>
      </c>
      <c r="X8" s="4" t="n">
        <v>21</v>
      </c>
      <c r="Y8" s="4" t="inlineStr">
        <is>
          <t>2026-06-01</t>
        </is>
      </c>
      <c r="Z8" s="4" t="inlineStr">
        <is>
          <t>2026-06-01T00:00:00+00:00</t>
        </is>
      </c>
      <c r="AA8" s="4" t="inlineStr">
        <is>
          <t>com.logistics.rider.hungerstation</t>
        </is>
      </c>
      <c r="AC8" s="4" t="n">
        <v>408</v>
      </c>
      <c r="AD8" s="4" t="inlineStr">
        <is>
          <t>2026-06-01</t>
        </is>
      </c>
      <c r="AE8" s="4" t="inlineStr">
        <is>
          <t>2026-06-01T00:00:00+00:00</t>
        </is>
      </c>
      <c r="AF8" s="4" t="inlineStr">
        <is>
          <t>com.logistics.rider.foodpanda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SUMIFS(X:X,AA:AA,"*"&amp;$B$10&amp;"*",Y:Y,C9)</f>
        <v/>
      </c>
      <c r="F9" s="7" t="n"/>
      <c r="G9" s="7">
        <f>ROUND((1-E9/D9)*100,2)</f>
        <v/>
      </c>
      <c r="H9" s="7">
        <f>MIN(1,(G9-$B$3)/($B$4-$B$3))*$B$1</f>
        <v/>
      </c>
      <c r="I9" s="7" t="n"/>
      <c r="J9" s="7" t="n"/>
      <c r="K9" s="7">
        <f>SUMIFS(AC:AC,AF:AF,"*"&amp;$B$10&amp;"*",AD:AD,C9)</f>
        <v/>
      </c>
      <c r="L9" s="7">
        <f>ROUND(100*(1-K9/D9),2)</f>
        <v/>
      </c>
      <c r="M9" s="7">
        <f>MAX(0,(L9-$B$6)/($B$7-$B$6)*$B$8)</f>
        <v/>
      </c>
      <c r="N9" s="7">
        <f>$B$2+H9+M9</f>
        <v/>
      </c>
      <c r="T9" s="7" t="inlineStr">
        <is>
          <t>2026-06-08</t>
        </is>
      </c>
      <c r="U9" s="7" t="inlineStr"/>
      <c r="V9" s="7" t="n">
        <v>1</v>
      </c>
      <c r="X9" s="7" t="n">
        <v>73</v>
      </c>
      <c r="Y9" s="7" t="inlineStr">
        <is>
          <t>2026-06-01</t>
        </is>
      </c>
      <c r="Z9" s="7" t="inlineStr">
        <is>
          <t>2026-06-01T00:00:00+00:00</t>
        </is>
      </c>
      <c r="AA9" s="7" t="inlineStr">
        <is>
          <t>com.logistics.rider.glovo</t>
        </is>
      </c>
      <c r="AC9" s="7" t="n">
        <v>51</v>
      </c>
      <c r="AD9" s="7" t="inlineStr">
        <is>
          <t>2026-06-01</t>
        </is>
      </c>
      <c r="AE9" s="7" t="inlineStr">
        <is>
          <t>2026-06-01T00:00:00+00:00</t>
        </is>
      </c>
      <c r="AF9" s="7" t="inlineStr">
        <is>
          <t>com.logistics.rider.pedidosya</t>
        </is>
      </c>
    </row>
    <row r="10">
      <c r="A10" s="17" t="inlineStr">
        <is>
          <t>Brand</t>
        </is>
      </c>
      <c r="B10" s="18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SUMIFS(X:X,AA:AA,"*"&amp;$B$10&amp;"*",Y:Y,C10)</f>
        <v/>
      </c>
      <c r="F10" s="4" t="n"/>
      <c r="G10" s="4">
        <f>ROUND((1-E10/D10)*100,2)</f>
        <v/>
      </c>
      <c r="H10" s="4">
        <f>MIN(1,(G10-$B$3)/($B$4-$B$3))*$B$1</f>
        <v/>
      </c>
      <c r="I10" s="4" t="n"/>
      <c r="J10" s="4" t="n"/>
      <c r="K10" s="4">
        <f>SUMIFS(AC:AC,AF:AF,"*"&amp;$B$10&amp;"*",AD:AD,C10)</f>
        <v/>
      </c>
      <c r="L10" s="4">
        <f>ROUND(100*(1-K10/D10),2)</f>
        <v/>
      </c>
      <c r="M10" s="4">
        <f>MAX(0,(L10-$B$6)/($B$7-$B$6)*$B$8)</f>
        <v/>
      </c>
      <c r="N10" s="4">
        <f>$B$2+H10+M10</f>
        <v/>
      </c>
      <c r="T10" s="4" t="inlineStr">
        <is>
          <t>2026-06-09</t>
        </is>
      </c>
      <c r="U10" s="4" t="inlineStr"/>
      <c r="V10" s="4" t="n">
        <v>1</v>
      </c>
      <c r="X10" s="4" t="n">
        <v>64</v>
      </c>
      <c r="Y10" s="4" t="inlineStr">
        <is>
          <t>2026-06-01</t>
        </is>
      </c>
      <c r="Z10" s="4" t="inlineStr">
        <is>
          <t>2026-06-01T00:00:00+00:00</t>
        </is>
      </c>
      <c r="AA10" s="4" t="inlineStr">
        <is>
          <t>com.logistics.rider.talabat</t>
        </is>
      </c>
      <c r="AC10" s="4" t="n">
        <v>157</v>
      </c>
      <c r="AD10" s="4" t="inlineStr">
        <is>
          <t>2026-06-01</t>
        </is>
      </c>
      <c r="AE10" s="4" t="inlineStr">
        <is>
          <t>2026-06-01T00:00:00+00:00</t>
        </is>
      </c>
      <c r="AF10" s="4" t="inlineStr">
        <is>
          <t>com.logistics.rider.glovo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SUMIFS(X:X,AA:AA,"*"&amp;$B$10&amp;"*",Y:Y,C11)</f>
        <v/>
      </c>
      <c r="F11" s="7" t="n"/>
      <c r="G11" s="7">
        <f>ROUND((1-E11/D11)*100,2)</f>
        <v/>
      </c>
      <c r="H11" s="7">
        <f>MIN(1,(G11-$B$3)/($B$4-$B$3))*$B$1</f>
        <v/>
      </c>
      <c r="I11" s="7" t="n"/>
      <c r="J11" s="7" t="n"/>
      <c r="K11" s="7">
        <f>SUMIFS(AC:AC,AF:AF,"*"&amp;$B$10&amp;"*",AD:AD,C11)</f>
        <v/>
      </c>
      <c r="L11" s="7">
        <f>ROUND(100*(1-K11/D11),2)</f>
        <v/>
      </c>
      <c r="M11" s="7">
        <f>MAX(0,(L11-$B$6)/($B$7-$B$6)*$B$8)</f>
        <v/>
      </c>
      <c r="N11" s="7">
        <f>$B$2+H11+M11</f>
        <v/>
      </c>
      <c r="T11" s="7" t="inlineStr">
        <is>
          <t>2026-06-10</t>
        </is>
      </c>
      <c r="U11" s="7" t="inlineStr"/>
      <c r="V11" s="7" t="n">
        <v>1</v>
      </c>
      <c r="X11" s="7" t="n">
        <v>15</v>
      </c>
      <c r="Y11" s="7" t="inlineStr">
        <is>
          <t>2026-06-02</t>
        </is>
      </c>
      <c r="Z11" s="7" t="inlineStr">
        <is>
          <t>2026-06-02T00:00:00+00:00</t>
        </is>
      </c>
      <c r="AA11" s="7" t="inlineStr">
        <is>
          <t>com.logistics.rider.hungerstation</t>
        </is>
      </c>
      <c r="AC11" s="7" t="n">
        <v>1</v>
      </c>
      <c r="AD11" s="7" t="inlineStr">
        <is>
          <t>2026-06-01</t>
        </is>
      </c>
      <c r="AE11" s="7" t="inlineStr">
        <is>
          <t>2026-06-01T00:00:00+00:00</t>
        </is>
      </c>
      <c r="AF11" s="7" t="inlineStr">
        <is>
          <t>com.logistics.rider.rc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SUMIFS(X:X,AA:AA,"*"&amp;$B$10&amp;"*",Y:Y,C12)</f>
        <v/>
      </c>
      <c r="F12" s="4" t="n"/>
      <c r="G12" s="4">
        <f>ROUND((1-E12/D12)*100,2)</f>
        <v/>
      </c>
      <c r="H12" s="4">
        <f>MIN(1,(G12-$B$3)/($B$4-$B$3))*$B$1</f>
        <v/>
      </c>
      <c r="I12" s="4" t="n"/>
      <c r="J12" s="4" t="n"/>
      <c r="K12" s="4">
        <f>SUMIFS(AC:AC,AF:AF,"*"&amp;$B$10&amp;"*",AD:AD,C12)</f>
        <v/>
      </c>
      <c r="L12" s="4">
        <f>ROUND(100*(1-K12/D12),2)</f>
        <v/>
      </c>
      <c r="M12" s="4">
        <f>MAX(0,(L12-$B$6)/($B$7-$B$6)*$B$8)</f>
        <v/>
      </c>
      <c r="N12" s="4">
        <f>$B$2+H12+M12</f>
        <v/>
      </c>
      <c r="T12" s="4" t="inlineStr">
        <is>
          <t>2026-06-11</t>
        </is>
      </c>
      <c r="U12" s="4" t="inlineStr"/>
      <c r="V12" s="4" t="n">
        <v>1</v>
      </c>
      <c r="X12" s="4" t="n">
        <v>105</v>
      </c>
      <c r="Y12" s="4" t="inlineStr">
        <is>
          <t>2026-06-02</t>
        </is>
      </c>
      <c r="Z12" s="4" t="inlineStr">
        <is>
          <t>2026-06-02T00:00:00+00:00</t>
        </is>
      </c>
      <c r="AA12" s="4" t="inlineStr">
        <is>
          <t>com.logistics.rider.foodpanda</t>
        </is>
      </c>
      <c r="AC12" s="4" t="n">
        <v>166</v>
      </c>
      <c r="AD12" s="4" t="inlineStr">
        <is>
          <t>2026-06-02</t>
        </is>
      </c>
      <c r="AE12" s="4" t="inlineStr">
        <is>
          <t>2026-06-02T00:00:00+00:00</t>
        </is>
      </c>
      <c r="AF12" s="4" t="inlineStr">
        <is>
          <t>com.logistics.rider.talabat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SUMIFS(X:X,AA:AA,"*"&amp;$B$10&amp;"*",Y:Y,C13)</f>
        <v/>
      </c>
      <c r="F13" s="7" t="n"/>
      <c r="G13" s="7">
        <f>ROUND((1-E13/D13)*100,2)</f>
        <v/>
      </c>
      <c r="H13" s="7">
        <f>MIN(1,(G13-$B$3)/($B$4-$B$3))*$B$1</f>
        <v/>
      </c>
      <c r="I13" s="7" t="n"/>
      <c r="J13" s="7" t="n"/>
      <c r="K13" s="7">
        <f>SUMIFS(AC:AC,AF:AF,"*"&amp;$B$10&amp;"*",AD:AD,C13)</f>
        <v/>
      </c>
      <c r="L13" s="7">
        <f>ROUND(100*(1-K13/D13),2)</f>
        <v/>
      </c>
      <c r="M13" s="7">
        <f>MAX(0,(L13-$B$6)/($B$7-$B$6)*$B$8)</f>
        <v/>
      </c>
      <c r="N13" s="7">
        <f>$B$2+H13+M13</f>
        <v/>
      </c>
      <c r="T13" s="7" t="inlineStr">
        <is>
          <t>2026-06-12</t>
        </is>
      </c>
      <c r="U13" s="7" t="inlineStr"/>
      <c r="V13" s="7" t="n">
        <v>1</v>
      </c>
      <c r="X13" s="7" t="n">
        <v>82</v>
      </c>
      <c r="Y13" s="7" t="inlineStr">
        <is>
          <t>2026-06-02</t>
        </is>
      </c>
      <c r="Z13" s="7" t="inlineStr">
        <is>
          <t>2026-06-02T00:00:00+00:00</t>
        </is>
      </c>
      <c r="AA13" s="7" t="inlineStr">
        <is>
          <t>com.logistics.rider.talabat</t>
        </is>
      </c>
      <c r="AC13" s="7" t="n">
        <v>6</v>
      </c>
      <c r="AD13" s="7" t="inlineStr">
        <is>
          <t>2026-06-02</t>
        </is>
      </c>
      <c r="AE13" s="7" t="inlineStr">
        <is>
          <t>2026-06-02T00:00:00+00:00</t>
        </is>
      </c>
      <c r="AF13" s="7" t="inlineStr">
        <is>
          <t>com.logistics.rider.foody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SUMIFS(X:X,AA:AA,"*"&amp;$B$10&amp;"*",Y:Y,C14)</f>
        <v/>
      </c>
      <c r="F14" s="4" t="n"/>
      <c r="G14" s="4">
        <f>ROUND((1-E14/D14)*100,2)</f>
        <v/>
      </c>
      <c r="H14" s="4">
        <f>MIN(1,(G14-$B$3)/($B$4-$B$3))*$B$1</f>
        <v/>
      </c>
      <c r="I14" s="4" t="n"/>
      <c r="J14" s="4" t="n"/>
      <c r="K14" s="4">
        <f>SUMIFS(AC:AC,AF:AF,"*"&amp;$B$10&amp;"*",AD:AD,C14)</f>
        <v/>
      </c>
      <c r="L14" s="4">
        <f>ROUND(100*(1-K14/D14),2)</f>
        <v/>
      </c>
      <c r="M14" s="4">
        <f>MAX(0,(L14-$B$6)/($B$7-$B$6)*$B$8)</f>
        <v/>
      </c>
      <c r="N14" s="4">
        <f>$B$2+H14+M14</f>
        <v/>
      </c>
      <c r="T14" s="4" t="inlineStr">
        <is>
          <t>2026-06-13</t>
        </is>
      </c>
      <c r="U14" s="4" t="inlineStr"/>
      <c r="V14" s="4" t="n">
        <v>1</v>
      </c>
      <c r="X14" s="4" t="n">
        <v>73</v>
      </c>
      <c r="Y14" s="4" t="inlineStr">
        <is>
          <t>2026-06-02</t>
        </is>
      </c>
      <c r="Z14" s="4" t="inlineStr">
        <is>
          <t>2026-06-02T00:00:00+00:00</t>
        </is>
      </c>
      <c r="AA14" s="4" t="inlineStr"/>
      <c r="AC14" s="4" t="n">
        <v>27</v>
      </c>
      <c r="AD14" s="4" t="inlineStr">
        <is>
          <t>2026-06-02</t>
        </is>
      </c>
      <c r="AE14" s="4" t="inlineStr">
        <is>
          <t>2026-06-02T00:00:00+00:00</t>
        </is>
      </c>
      <c r="AF14" s="4" t="inlineStr">
        <is>
          <t>com.logistics.rider.foodora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SUMIFS(X:X,AA:AA,"*"&amp;$B$10&amp;"*",Y:Y,C15)</f>
        <v/>
      </c>
      <c r="F15" s="7" t="n"/>
      <c r="G15" s="7">
        <f>ROUND((1-E15/D15)*100,2)</f>
        <v/>
      </c>
      <c r="H15" s="7">
        <f>MIN(1,(G15-$B$3)/($B$4-$B$3))*$B$1</f>
        <v/>
      </c>
      <c r="I15" s="7" t="n"/>
      <c r="J15" s="7" t="n"/>
      <c r="K15" s="7">
        <f>SUMIFS(AC:AC,AF:AF,"*"&amp;$B$10&amp;"*",AD:AD,C15)</f>
        <v/>
      </c>
      <c r="L15" s="7">
        <f>ROUND(100*(1-K15/D15),2)</f>
        <v/>
      </c>
      <c r="M15" s="7">
        <f>MAX(0,(L15-$B$6)/($B$7-$B$6)*$B$8)</f>
        <v/>
      </c>
      <c r="N15" s="7">
        <f>$B$2+H15+M15</f>
        <v/>
      </c>
      <c r="T15" s="7" t="inlineStr">
        <is>
          <t>2026-06-14</t>
        </is>
      </c>
      <c r="U15" s="7" t="inlineStr"/>
      <c r="V15" s="7" t="n">
        <v>1</v>
      </c>
      <c r="X15" s="7" t="n">
        <v>75</v>
      </c>
      <c r="Y15" s="7" t="inlineStr">
        <is>
          <t>2026-06-02</t>
        </is>
      </c>
      <c r="Z15" s="7" t="inlineStr">
        <is>
          <t>2026-06-02T00:00:00+00:00</t>
        </is>
      </c>
      <c r="AA15" s="7" t="inlineStr">
        <is>
          <t>com.logistics.rider.glovo</t>
        </is>
      </c>
      <c r="AC15" s="7" t="n">
        <v>35</v>
      </c>
      <c r="AD15" s="7" t="inlineStr">
        <is>
          <t>2026-06-02</t>
        </is>
      </c>
      <c r="AE15" s="7" t="inlineStr">
        <is>
          <t>2026-06-02T00:00:00+00:00</t>
        </is>
      </c>
      <c r="AF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SUMIFS(X:X,AA:AA,"*"&amp;$B$10&amp;"*",Y:Y,C16)</f>
        <v/>
      </c>
      <c r="F16" s="4" t="n"/>
      <c r="G16" s="4">
        <f>ROUND((1-E16/D16)*100,2)</f>
        <v/>
      </c>
      <c r="H16" s="4">
        <f>MIN(1,(G16-$B$3)/($B$4-$B$3))*$B$1</f>
        <v/>
      </c>
      <c r="I16" s="4" t="n"/>
      <c r="J16" s="4" t="n"/>
      <c r="K16" s="4">
        <f>SUMIFS(AC:AC,AF:AF,"*"&amp;$B$10&amp;"*",AD:AD,C16)</f>
        <v/>
      </c>
      <c r="L16" s="4">
        <f>ROUND(100*(1-K16/D16),2)</f>
        <v/>
      </c>
      <c r="M16" s="4">
        <f>MAX(0,(L16-$B$6)/($B$7-$B$6)*$B$8)</f>
        <v/>
      </c>
      <c r="N16" s="4">
        <f>$B$2+H16+M16</f>
        <v/>
      </c>
      <c r="T16" s="4" t="inlineStr">
        <is>
          <t>2026-06-15</t>
        </is>
      </c>
      <c r="U16" s="4" t="inlineStr"/>
      <c r="V16" s="4" t="n">
        <v>1</v>
      </c>
      <c r="X16" s="4" t="n">
        <v>19</v>
      </c>
      <c r="Y16" s="4" t="inlineStr">
        <is>
          <t>2026-06-02</t>
        </is>
      </c>
      <c r="Z16" s="4" t="inlineStr">
        <is>
          <t>2026-06-02T00:00:00+00:00</t>
        </is>
      </c>
      <c r="AA16" s="4" t="inlineStr">
        <is>
          <t>com.logistics.rider.foodora</t>
        </is>
      </c>
      <c r="AC16" s="4" t="n">
        <v>428</v>
      </c>
      <c r="AD16" s="4" t="inlineStr">
        <is>
          <t>2026-06-02</t>
        </is>
      </c>
      <c r="AE16" s="4" t="inlineStr">
        <is>
          <t>2026-06-02T00:00:00+00:00</t>
        </is>
      </c>
      <c r="AF16" s="4" t="inlineStr">
        <is>
          <t>com.logistics.rider.foodpanda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SUMIFS(X:X,AA:AA,"*"&amp;$B$10&amp;"*",Y:Y,C17)</f>
        <v/>
      </c>
      <c r="F17" s="7" t="n"/>
      <c r="G17" s="7">
        <f>ROUND((1-E17/D17)*100,2)</f>
        <v/>
      </c>
      <c r="H17" s="7">
        <f>MIN(1,(G17-$B$3)/($B$4-$B$3))*$B$1</f>
        <v/>
      </c>
      <c r="I17" s="7" t="n"/>
      <c r="J17" s="7" t="n"/>
      <c r="K17" s="7">
        <f>SUMIFS(AC:AC,AF:AF,"*"&amp;$B$10&amp;"*",AD:AD,C17)</f>
        <v/>
      </c>
      <c r="L17" s="7">
        <f>ROUND(100*(1-K17/D17),2)</f>
        <v/>
      </c>
      <c r="M17" s="7">
        <f>MAX(0,(L17-$B$6)/($B$7-$B$6)*$B$8)</f>
        <v/>
      </c>
      <c r="N17" s="7">
        <f>$B$2+H17+M17</f>
        <v/>
      </c>
      <c r="T17" s="7" t="inlineStr">
        <is>
          <t>2026-06-16</t>
        </is>
      </c>
      <c r="U17" s="7" t="inlineStr"/>
      <c r="V17" s="7" t="n">
        <v>1</v>
      </c>
      <c r="X17" s="7" t="n">
        <v>9</v>
      </c>
      <c r="Y17" s="7" t="inlineStr">
        <is>
          <t>2026-06-02</t>
        </is>
      </c>
      <c r="Z17" s="7" t="inlineStr">
        <is>
          <t>2026-06-02T00:00:00+00:00</t>
        </is>
      </c>
      <c r="AA17" s="7" t="inlineStr">
        <is>
          <t>com.logistics.rider.efood</t>
        </is>
      </c>
      <c r="AC17" s="7" t="n">
        <v>4</v>
      </c>
      <c r="AD17" s="7" t="inlineStr">
        <is>
          <t>2026-06-02</t>
        </is>
      </c>
      <c r="AE17" s="7" t="inlineStr">
        <is>
          <t>2026-06-02T00:00:00+00:00</t>
        </is>
      </c>
      <c r="AF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2026-06-01</t>
        </is>
      </c>
      <c r="U18" s="4" t="inlineStr">
        <is>
          <t>com.logistics.rider.efood</t>
        </is>
      </c>
      <c r="V18" s="4" t="n">
        <v>5365</v>
      </c>
      <c r="X18" s="4" t="n">
        <v>1</v>
      </c>
      <c r="Y18" s="4" t="inlineStr">
        <is>
          <t>2026-06-02</t>
        </is>
      </c>
      <c r="Z18" s="4" t="inlineStr">
        <is>
          <t>2026-06-02T00:00:00+00:00</t>
        </is>
      </c>
      <c r="AA18" s="4" t="inlineStr">
        <is>
          <t>com.logistics.rider.foody</t>
        </is>
      </c>
      <c r="AC18" s="4" t="n">
        <v>54</v>
      </c>
      <c r="AD18" s="4" t="inlineStr">
        <is>
          <t>2026-06-02</t>
        </is>
      </c>
      <c r="AE18" s="4" t="inlineStr">
        <is>
          <t>2026-06-02T00:00:00+00:00</t>
        </is>
      </c>
      <c r="AF18" s="4" t="inlineStr">
        <is>
          <t>com.logistics.rider.pedidosya</t>
        </is>
      </c>
    </row>
    <row r="19">
      <c r="A19" s="7" t="n"/>
      <c r="B19" s="7" t="n"/>
      <c r="C19" s="7" t="inlineStr">
        <is>
          <t>2026-06-18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2026-06-02</t>
        </is>
      </c>
      <c r="U19" s="7" t="inlineStr">
        <is>
          <t>com.logistics.rider.efood</t>
        </is>
      </c>
      <c r="V19" s="7" t="n">
        <v>5741</v>
      </c>
      <c r="X19" s="7" t="n">
        <v>25</v>
      </c>
      <c r="Y19" s="7" t="inlineStr">
        <is>
          <t>2026-06-02</t>
        </is>
      </c>
      <c r="Z19" s="7" t="inlineStr">
        <is>
          <t>2026-06-02T00:00:00+00:00</t>
        </is>
      </c>
      <c r="AA19" s="7" t="inlineStr">
        <is>
          <t>com.logistics.rider.pedidosya</t>
        </is>
      </c>
      <c r="AC19" s="7" t="n">
        <v>4</v>
      </c>
      <c r="AD19" s="7" t="inlineStr">
        <is>
          <t>2026-06-02</t>
        </is>
      </c>
      <c r="AE19" s="7" t="inlineStr">
        <is>
          <t>2026-06-02T00:00:00+00:00</t>
        </is>
      </c>
      <c r="AF19" s="7" t="inlineStr">
        <is>
          <t>com.logistics.rider.efood</t>
        </is>
      </c>
    </row>
    <row r="20">
      <c r="A20" s="7" t="n"/>
      <c r="B20" s="7" t="n"/>
      <c r="C20" s="4" t="inlineStr">
        <is>
          <t>2026-06-19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2026-06-03</t>
        </is>
      </c>
      <c r="U20" s="4" t="inlineStr">
        <is>
          <t>com.logistics.rider.efood</t>
        </is>
      </c>
      <c r="V20" s="4" t="n">
        <v>5451</v>
      </c>
      <c r="X20" s="4" t="n">
        <v>26</v>
      </c>
      <c r="Y20" s="4" t="inlineStr">
        <is>
          <t>2026-06-03</t>
        </is>
      </c>
      <c r="Z20" s="4" t="inlineStr">
        <is>
          <t>2026-06-03T00:00:00+00:00</t>
        </is>
      </c>
      <c r="AA20" s="4" t="inlineStr">
        <is>
          <t>com.logistics.rider.pedidosya</t>
        </is>
      </c>
      <c r="AC20" s="4" t="n">
        <v>144</v>
      </c>
      <c r="AD20" s="4" t="inlineStr">
        <is>
          <t>2026-06-02</t>
        </is>
      </c>
      <c r="AE20" s="4" t="inlineStr">
        <is>
          <t>2026-06-02T00:00:00+00:00</t>
        </is>
      </c>
      <c r="AF20" s="4" t="inlineStr">
        <is>
          <t>com.logistics.rider.glovo</t>
        </is>
      </c>
    </row>
    <row r="21">
      <c r="A21" s="7" t="n"/>
      <c r="B21" s="7" t="n"/>
      <c r="C21" s="7" t="inlineStr">
        <is>
          <t>2026-06-20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2026-06-04</t>
        </is>
      </c>
      <c r="U21" s="7" t="inlineStr">
        <is>
          <t>com.logistics.rider.efood</t>
        </is>
      </c>
      <c r="V21" s="7" t="n">
        <v>5458</v>
      </c>
      <c r="X21" s="7" t="n">
        <v>19</v>
      </c>
      <c r="Y21" s="7" t="inlineStr">
        <is>
          <t>2026-06-03</t>
        </is>
      </c>
      <c r="Z21" s="7" t="inlineStr">
        <is>
          <t>2026-06-03T00:00:00+00:00</t>
        </is>
      </c>
      <c r="AA21" s="7" t="inlineStr">
        <is>
          <t>com.logistics.rider.foodora</t>
        </is>
      </c>
      <c r="AC21" s="7" t="n">
        <v>1</v>
      </c>
      <c r="AD21" s="7" t="inlineStr">
        <is>
          <t>2026-06-03</t>
        </is>
      </c>
      <c r="AE21" s="7" t="inlineStr">
        <is>
          <t>2026-06-03T00:00:00+00:00</t>
        </is>
      </c>
      <c r="AF21" s="7" t="inlineStr">
        <is>
          <t>com.logistics.rider.foody</t>
        </is>
      </c>
    </row>
    <row r="22">
      <c r="A22" s="7" t="n"/>
      <c r="B22" s="7" t="n"/>
      <c r="C22" s="4" t="inlineStr">
        <is>
          <t>2026-06-21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2026-06-05</t>
        </is>
      </c>
      <c r="U22" s="4" t="inlineStr">
        <is>
          <t>com.logistics.rider.efood</t>
        </is>
      </c>
      <c r="V22" s="4" t="n">
        <v>5664</v>
      </c>
      <c r="X22" s="4" t="n">
        <v>74</v>
      </c>
      <c r="Y22" s="4" t="inlineStr">
        <is>
          <t>2026-06-03</t>
        </is>
      </c>
      <c r="Z22" s="4" t="inlineStr">
        <is>
          <t>2026-06-03T00:00:00+00:00</t>
        </is>
      </c>
      <c r="AA22" s="4" t="inlineStr">
        <is>
          <t>com.logistics.rider.glovo</t>
        </is>
      </c>
      <c r="AC22" s="4" t="n">
        <v>478</v>
      </c>
      <c r="AD22" s="4" t="inlineStr">
        <is>
          <t>2026-06-03</t>
        </is>
      </c>
      <c r="AE22" s="4" t="inlineStr">
        <is>
          <t>2026-06-03T00:00:00+00:00</t>
        </is>
      </c>
      <c r="AF22" s="4" t="inlineStr">
        <is>
          <t>com.logistics.rider.foodpanda</t>
        </is>
      </c>
    </row>
    <row r="23">
      <c r="A23" s="7" t="n"/>
      <c r="B23" s="7" t="n"/>
      <c r="C23" s="7" t="inlineStr">
        <is>
          <t>2026-06-22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2026-06-06</t>
        </is>
      </c>
      <c r="U23" s="7" t="inlineStr">
        <is>
          <t>com.logistics.rider.efood</t>
        </is>
      </c>
      <c r="V23" s="7" t="n">
        <v>5241</v>
      </c>
      <c r="X23" s="7" t="n">
        <v>9</v>
      </c>
      <c r="Y23" s="7" t="inlineStr">
        <is>
          <t>2026-06-03</t>
        </is>
      </c>
      <c r="Z23" s="7" t="inlineStr">
        <is>
          <t>2026-06-03T00:00:00+00:00</t>
        </is>
      </c>
      <c r="AA23" s="7" t="inlineStr">
        <is>
          <t>com.logistics.rider.hungerstation</t>
        </is>
      </c>
      <c r="AC23" s="7" t="n">
        <v>144</v>
      </c>
      <c r="AD23" s="7" t="inlineStr">
        <is>
          <t>2026-06-03</t>
        </is>
      </c>
      <c r="AE23" s="7" t="inlineStr">
        <is>
          <t>2026-06-03T00:00:00+00:00</t>
        </is>
      </c>
      <c r="AF23" s="7" t="inlineStr">
        <is>
          <t>com.logistics.rider.glovo</t>
        </is>
      </c>
    </row>
    <row r="24">
      <c r="A24" s="7" t="n"/>
      <c r="B24" s="7" t="n"/>
      <c r="C24" s="4" t="inlineStr">
        <is>
          <t>2026-06-23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2026-06-07</t>
        </is>
      </c>
      <c r="U24" s="4" t="inlineStr">
        <is>
          <t>com.logistics.rider.efood</t>
        </is>
      </c>
      <c r="V24" s="4" t="n">
        <v>5102</v>
      </c>
      <c r="X24" s="4" t="n">
        <v>11</v>
      </c>
      <c r="Y24" s="4" t="inlineStr">
        <is>
          <t>2026-06-03</t>
        </is>
      </c>
      <c r="Z24" s="4" t="inlineStr">
        <is>
          <t>2026-06-03T00:00:00+00:00</t>
        </is>
      </c>
      <c r="AA24" s="4" t="inlineStr">
        <is>
          <t>com.logistics.rider.efood</t>
        </is>
      </c>
      <c r="AC24" s="4" t="n">
        <v>28</v>
      </c>
      <c r="AD24" s="4" t="inlineStr">
        <is>
          <t>2026-06-03</t>
        </is>
      </c>
      <c r="AE24" s="4" t="inlineStr">
        <is>
          <t>2026-06-03T00:00:00+00:00</t>
        </is>
      </c>
      <c r="AF24" s="4" t="inlineStr">
        <is>
          <t>com.logistics.rider.foodora</t>
        </is>
      </c>
    </row>
    <row r="25">
      <c r="A25" s="7" t="n"/>
      <c r="B25" s="7" t="n"/>
      <c r="C25" s="7" t="inlineStr">
        <is>
          <t>2026-06-24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2026-06-08</t>
        </is>
      </c>
      <c r="U25" s="7" t="inlineStr">
        <is>
          <t>com.logistics.rider.efood</t>
        </is>
      </c>
      <c r="V25" s="7" t="n">
        <v>5388</v>
      </c>
      <c r="X25" s="7" t="n">
        <v>145</v>
      </c>
      <c r="Y25" s="7" t="inlineStr">
        <is>
          <t>2026-06-03</t>
        </is>
      </c>
      <c r="Z25" s="7" t="inlineStr">
        <is>
          <t>2026-06-03T00:00:00+00:00</t>
        </is>
      </c>
      <c r="AA25" s="7" t="inlineStr">
        <is>
          <t>com.logistics.rider.foodpanda</t>
        </is>
      </c>
      <c r="AC25" s="7" t="n">
        <v>183</v>
      </c>
      <c r="AD25" s="7" t="inlineStr">
        <is>
          <t>2026-06-03</t>
        </is>
      </c>
      <c r="AE25" s="7" t="inlineStr">
        <is>
          <t>2026-06-03T00:00:00+00:00</t>
        </is>
      </c>
      <c r="AF25" s="7" t="inlineStr">
        <is>
          <t>com.logistics.rider.talabat</t>
        </is>
      </c>
    </row>
    <row r="26">
      <c r="A26" s="7" t="n"/>
      <c r="B26" s="7" t="n"/>
      <c r="C26" s="4" t="inlineStr">
        <is>
          <t>2026-06-25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2026-06-09</t>
        </is>
      </c>
      <c r="U26" s="4" t="inlineStr">
        <is>
          <t>com.logistics.rider.efood</t>
        </is>
      </c>
      <c r="V26" s="4" t="n">
        <v>5339</v>
      </c>
      <c r="X26" s="4" t="n">
        <v>74</v>
      </c>
      <c r="Y26" s="4" t="inlineStr">
        <is>
          <t>2026-06-03</t>
        </is>
      </c>
      <c r="Z26" s="4" t="inlineStr">
        <is>
          <t>2026-06-03T00:00:00+00:00</t>
        </is>
      </c>
      <c r="AA26" s="4" t="inlineStr">
        <is>
          <t>com.logistics.rider.talabat</t>
        </is>
      </c>
      <c r="AC26" s="4" t="n">
        <v>51</v>
      </c>
      <c r="AD26" s="4" t="inlineStr">
        <is>
          <t>2026-06-03</t>
        </is>
      </c>
      <c r="AE26" s="4" t="inlineStr">
        <is>
          <t>2026-06-03T00:00:00+00:00</t>
        </is>
      </c>
      <c r="AF26" s="4" t="inlineStr">
        <is>
          <t>com.logistics.rider.pedidosya</t>
        </is>
      </c>
    </row>
    <row r="27">
      <c r="A27" s="7" t="n"/>
      <c r="B27" s="7" t="n"/>
      <c r="C27" s="7" t="inlineStr">
        <is>
          <t>2026-06-26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2026-06-10</t>
        </is>
      </c>
      <c r="U27" s="7" t="inlineStr">
        <is>
          <t>com.logistics.rider.efood</t>
        </is>
      </c>
      <c r="V27" s="7" t="n">
        <v>5348</v>
      </c>
      <c r="X27" s="7" t="n">
        <v>86</v>
      </c>
      <c r="Y27" s="7" t="inlineStr">
        <is>
          <t>2026-06-03</t>
        </is>
      </c>
      <c r="Z27" s="7" t="inlineStr">
        <is>
          <t>2026-06-03T00:00:00+00:00</t>
        </is>
      </c>
      <c r="AA27" s="7" t="inlineStr"/>
      <c r="AC27" s="7" t="n">
        <v>5</v>
      </c>
      <c r="AD27" s="7" t="inlineStr">
        <is>
          <t>2026-06-03</t>
        </is>
      </c>
      <c r="AE27" s="7" t="inlineStr">
        <is>
          <t>2026-06-03T00:00:00+00:00</t>
        </is>
      </c>
      <c r="AF27" s="7" t="inlineStr">
        <is>
          <t>com.logistics.rider.efood</t>
        </is>
      </c>
    </row>
    <row r="28">
      <c r="A28" s="7" t="n"/>
      <c r="B28" s="7" t="n"/>
      <c r="C28" s="4" t="inlineStr">
        <is>
          <t>2026-06-27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2026-06-11</t>
        </is>
      </c>
      <c r="U28" s="4" t="inlineStr">
        <is>
          <t>com.logistics.rider.efood</t>
        </is>
      </c>
      <c r="V28" s="4" t="n">
        <v>5329</v>
      </c>
      <c r="X28" s="4" t="n">
        <v>79</v>
      </c>
      <c r="Y28" s="4" t="inlineStr">
        <is>
          <t>2026-06-04</t>
        </is>
      </c>
      <c r="Z28" s="4" t="inlineStr">
        <is>
          <t>2026-06-04T00:00:00+00:00</t>
        </is>
      </c>
      <c r="AA28" s="4" t="inlineStr"/>
      <c r="AC28" s="4" t="n">
        <v>3</v>
      </c>
      <c r="AD28" s="4" t="inlineStr">
        <is>
          <t>2026-06-03</t>
        </is>
      </c>
      <c r="AE28" s="4" t="inlineStr">
        <is>
          <t>2026-06-03T00:00:00+00:00</t>
        </is>
      </c>
      <c r="AF28" s="4" t="inlineStr">
        <is>
          <t>com.logistics.rider.woowabros</t>
        </is>
      </c>
    </row>
    <row r="29">
      <c r="A29" s="7" t="n"/>
      <c r="B29" s="7" t="n"/>
      <c r="C29" s="7" t="inlineStr">
        <is>
          <t>2026-06-28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2026-06-12</t>
        </is>
      </c>
      <c r="U29" s="7" t="inlineStr">
        <is>
          <t>com.logistics.rider.efood</t>
        </is>
      </c>
      <c r="V29" s="7" t="n">
        <v>5436</v>
      </c>
      <c r="X29" s="7" t="n">
        <v>11</v>
      </c>
      <c r="Y29" s="7" t="inlineStr">
        <is>
          <t>2026-06-04</t>
        </is>
      </c>
      <c r="Z29" s="7" t="inlineStr">
        <is>
          <t>2026-06-04T00:00:00+00:00</t>
        </is>
      </c>
      <c r="AA29" s="7" t="inlineStr">
        <is>
          <t>com.logistics.rider.foodora</t>
        </is>
      </c>
      <c r="AC29" s="7" t="n">
        <v>36</v>
      </c>
      <c r="AD29" s="7" t="inlineStr">
        <is>
          <t>2026-06-03</t>
        </is>
      </c>
      <c r="AE29" s="7" t="inlineStr">
        <is>
          <t>2026-06-03T00:00:00+00:00</t>
        </is>
      </c>
      <c r="AF29" s="7" t="inlineStr">
        <is>
          <t>com.logistics.rider.hungerstation</t>
        </is>
      </c>
    </row>
    <row r="30">
      <c r="A30" s="7" t="n"/>
      <c r="B30" s="7" t="n"/>
      <c r="C30" s="4" t="inlineStr">
        <is>
          <t>2026-06-29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2026-06-13</t>
        </is>
      </c>
      <c r="U30" s="4" t="inlineStr">
        <is>
          <t>com.logistics.rider.efood</t>
        </is>
      </c>
      <c r="V30" s="4" t="n">
        <v>5081</v>
      </c>
      <c r="X30" s="4" t="n">
        <v>73</v>
      </c>
      <c r="Y30" s="4" t="inlineStr">
        <is>
          <t>2026-06-04</t>
        </is>
      </c>
      <c r="Z30" s="4" t="inlineStr">
        <is>
          <t>2026-06-04T00:00:00+00:00</t>
        </is>
      </c>
      <c r="AA30" s="4" t="inlineStr">
        <is>
          <t>com.logistics.rider.talabat</t>
        </is>
      </c>
      <c r="AC30" s="4" t="n">
        <v>1</v>
      </c>
      <c r="AD30" s="4" t="inlineStr">
        <is>
          <t>2026-06-03</t>
        </is>
      </c>
      <c r="AE30" s="4" t="inlineStr">
        <is>
          <t>2026-06-03T00:00:00+00:00</t>
        </is>
      </c>
      <c r="AF30" s="4" t="inlineStr">
        <is>
          <t>com.logistics.rider.yemeksepeti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2026-06-14</t>
        </is>
      </c>
      <c r="U31" s="7" t="inlineStr">
        <is>
          <t>com.logistics.rider.efood</t>
        </is>
      </c>
      <c r="V31" s="7" t="n">
        <v>5034</v>
      </c>
      <c r="X31" s="7" t="n">
        <v>101</v>
      </c>
      <c r="Y31" s="7" t="inlineStr">
        <is>
          <t>2026-06-04</t>
        </is>
      </c>
      <c r="Z31" s="7" t="inlineStr">
        <is>
          <t>2026-06-04T00:00:00+00:00</t>
        </is>
      </c>
      <c r="AA31" s="7" t="inlineStr">
        <is>
          <t>com.logistics.rider.foodpanda</t>
        </is>
      </c>
      <c r="AC31" s="7" t="n">
        <v>150</v>
      </c>
      <c r="AD31" s="7" t="inlineStr">
        <is>
          <t>2026-06-04</t>
        </is>
      </c>
      <c r="AE31" s="7" t="inlineStr">
        <is>
          <t>2026-06-04T00:00:00+00:00</t>
        </is>
      </c>
      <c r="AF31" s="7" t="inlineStr">
        <is>
          <t>com.logistics.rider.talabat</t>
        </is>
      </c>
    </row>
    <row r="32">
      <c r="D32" s="22" t="n"/>
      <c r="E32" s="22" t="n"/>
      <c r="F32" s="22" t="n"/>
      <c r="G32" s="23" t="inlineStr">
        <is>
          <t>AVG CFU</t>
        </is>
      </c>
      <c r="H32" s="23" t="inlineStr">
        <is>
          <t>CFU AQS Score</t>
        </is>
      </c>
      <c r="I32" s="23" t="inlineStr">
        <is>
          <t>June AQS score</t>
        </is>
      </c>
      <c r="J32" s="22" t="n"/>
      <c r="K32" s="22" t="n"/>
      <c r="L32" s="23" t="inlineStr">
        <is>
          <t>AVG Hang-free</t>
        </is>
      </c>
      <c r="M32" s="23" t="inlineStr">
        <is>
          <t>Hang-free AQS</t>
        </is>
      </c>
      <c r="N32" s="23" t="inlineStr">
        <is>
          <t>Projected AQS including hangs</t>
        </is>
      </c>
      <c r="T32" s="4" t="inlineStr">
        <is>
          <t>2026-06-15</t>
        </is>
      </c>
      <c r="U32" s="4" t="inlineStr">
        <is>
          <t>com.logistics.rider.efood</t>
        </is>
      </c>
      <c r="V32" s="4" t="n">
        <v>5557</v>
      </c>
      <c r="X32" s="4" t="n">
        <v>31</v>
      </c>
      <c r="Y32" s="4" t="inlineStr">
        <is>
          <t>2026-06-04</t>
        </is>
      </c>
      <c r="Z32" s="4" t="inlineStr">
        <is>
          <t>2026-06-04T00:00:00+00:00</t>
        </is>
      </c>
      <c r="AA32" s="4" t="inlineStr">
        <is>
          <t>com.logistics.rider.pedidosya</t>
        </is>
      </c>
      <c r="AC32" s="4" t="n">
        <v>54</v>
      </c>
      <c r="AD32" s="4" t="inlineStr">
        <is>
          <t>2026-06-04</t>
        </is>
      </c>
      <c r="AE32" s="4" t="inlineStr">
        <is>
          <t>2026-06-04T00:00:00+00:00</t>
        </is>
      </c>
      <c r="AF32" s="4" t="inlineStr">
        <is>
          <t>com.logistics.rider.pedidosya</t>
        </is>
      </c>
    </row>
    <row r="33">
      <c r="D33" s="24">
        <f>AVERAGE(D2:D17)</f>
        <v/>
      </c>
      <c r="E33" s="24" t="n"/>
      <c r="F33" s="24" t="n"/>
      <c r="G33" s="24">
        <f>AVERAGE(G2:G17)</f>
        <v/>
      </c>
      <c r="H33" s="24">
        <f>AVERAGE(H2:H17)</f>
        <v/>
      </c>
      <c r="I33" s="24">
        <f>$B$2+AVERAGE(H2:H17)</f>
        <v/>
      </c>
      <c r="J33" s="24" t="n"/>
      <c r="K33" s="24" t="n"/>
      <c r="L33" s="24">
        <f>AVERAGE(L2:L17)</f>
        <v/>
      </c>
      <c r="M33" s="24">
        <f>AVERAGE(M2:M17)</f>
        <v/>
      </c>
      <c r="N33" s="24">
        <f>$B$2+AVERAGE(H2:H17)+AVERAGE(M2:M17)</f>
        <v/>
      </c>
      <c r="T33" s="7" t="inlineStr">
        <is>
          <t>2026-06-16</t>
        </is>
      </c>
      <c r="U33" s="7" t="inlineStr">
        <is>
          <t>com.logistics.rider.efood</t>
        </is>
      </c>
      <c r="V33" s="7" t="n">
        <v>5513</v>
      </c>
      <c r="X33" s="7" t="n">
        <v>78</v>
      </c>
      <c r="Y33" s="7" t="inlineStr">
        <is>
          <t>2026-06-04</t>
        </is>
      </c>
      <c r="Z33" s="7" t="inlineStr">
        <is>
          <t>2026-06-04T00:00:00+00:00</t>
        </is>
      </c>
      <c r="AA33" s="7" t="inlineStr">
        <is>
          <t>com.logistics.rider.glovo</t>
        </is>
      </c>
      <c r="AC33" s="7" t="n">
        <v>123</v>
      </c>
      <c r="AD33" s="7" t="inlineStr">
        <is>
          <t>2026-06-04</t>
        </is>
      </c>
      <c r="AE33" s="7" t="inlineStr">
        <is>
          <t>2026-06-04T00:00:00+00:00</t>
        </is>
      </c>
      <c r="AF33" s="7" t="inlineStr">
        <is>
          <t>com.logistics.rider.glovo</t>
        </is>
      </c>
    </row>
    <row r="34">
      <c r="T34" s="4" t="inlineStr">
        <is>
          <t>2026-06-01</t>
        </is>
      </c>
      <c r="U34" s="4" t="inlineStr">
        <is>
          <t>com.logistics.rider.foodora</t>
        </is>
      </c>
      <c r="V34" s="4" t="n">
        <v>14969</v>
      </c>
      <c r="X34" s="4" t="n">
        <v>1</v>
      </c>
      <c r="Y34" s="4" t="inlineStr">
        <is>
          <t>2026-06-04</t>
        </is>
      </c>
      <c r="Z34" s="4" t="inlineStr">
        <is>
          <t>2026-06-04T00:00:00+00:00</t>
        </is>
      </c>
      <c r="AA34" s="4" t="inlineStr">
        <is>
          <t>com.logistics.rider.foody</t>
        </is>
      </c>
      <c r="AC34" s="4" t="n">
        <v>1</v>
      </c>
      <c r="AD34" s="4" t="inlineStr">
        <is>
          <t>2026-06-04</t>
        </is>
      </c>
      <c r="AE34" s="4" t="inlineStr">
        <is>
          <t>2026-06-04T00:00:00+00:00</t>
        </is>
      </c>
      <c r="AF34" s="4" t="inlineStr">
        <is>
          <t>com.logistics.rider.woowabros</t>
        </is>
      </c>
    </row>
    <row r="35">
      <c r="T35" s="7" t="inlineStr">
        <is>
          <t>2026-06-02</t>
        </is>
      </c>
      <c r="U35" s="7" t="inlineStr">
        <is>
          <t>com.logistics.rider.foodora</t>
        </is>
      </c>
      <c r="V35" s="7" t="n">
        <v>14818</v>
      </c>
      <c r="X35" s="7" t="n">
        <v>1</v>
      </c>
      <c r="Y35" s="7" t="inlineStr">
        <is>
          <t>2026-06-04</t>
        </is>
      </c>
      <c r="Z35" s="7" t="inlineStr">
        <is>
          <t>2026-06-04T00:00:00+00:00</t>
        </is>
      </c>
      <c r="AA35" s="7" t="inlineStr">
        <is>
          <t>com.logistics.rider.woowabros</t>
        </is>
      </c>
      <c r="AC35" s="7" t="n">
        <v>42</v>
      </c>
      <c r="AD35" s="7" t="inlineStr">
        <is>
          <t>2026-06-04</t>
        </is>
      </c>
      <c r="AE35" s="7" t="inlineStr">
        <is>
          <t>2026-06-04T00:00:00+00:00</t>
        </is>
      </c>
      <c r="AF35" s="7" t="inlineStr">
        <is>
          <t>com.logistics.rider.hungerstation</t>
        </is>
      </c>
    </row>
    <row r="36">
      <c r="T36" s="4" t="inlineStr">
        <is>
          <t>2026-06-03</t>
        </is>
      </c>
      <c r="U36" s="4" t="inlineStr">
        <is>
          <t>com.logistics.rider.foodora</t>
        </is>
      </c>
      <c r="V36" s="4" t="n">
        <v>15263</v>
      </c>
      <c r="X36" s="4" t="n">
        <v>13</v>
      </c>
      <c r="Y36" s="4" t="inlineStr">
        <is>
          <t>2026-06-04</t>
        </is>
      </c>
      <c r="Z36" s="4" t="inlineStr">
        <is>
          <t>2026-06-04T00:00:00+00:00</t>
        </is>
      </c>
      <c r="AA36" s="4" t="inlineStr">
        <is>
          <t>com.logistics.rider.hungerstation</t>
        </is>
      </c>
      <c r="AC36" s="4" t="n">
        <v>1</v>
      </c>
      <c r="AD36" s="4" t="inlineStr">
        <is>
          <t>2026-06-04</t>
        </is>
      </c>
      <c r="AE36" s="4" t="inlineStr">
        <is>
          <t>2026-06-04T00:00:00+00:00</t>
        </is>
      </c>
      <c r="AF36" s="4" t="inlineStr">
        <is>
          <t>com.logistics.rider.rc</t>
        </is>
      </c>
    </row>
    <row r="37">
      <c r="T37" s="7" t="inlineStr">
        <is>
          <t>2026-06-04</t>
        </is>
      </c>
      <c r="U37" s="7" t="inlineStr">
        <is>
          <t>com.logistics.rider.foodora</t>
        </is>
      </c>
      <c r="V37" s="7" t="n">
        <v>14815</v>
      </c>
      <c r="X37" s="7" t="n">
        <v>9</v>
      </c>
      <c r="Y37" s="7" t="inlineStr">
        <is>
          <t>2026-06-04</t>
        </is>
      </c>
      <c r="Z37" s="7" t="inlineStr">
        <is>
          <t>2026-06-04T00:00:00+00:00</t>
        </is>
      </c>
      <c r="AA37" s="7" t="inlineStr">
        <is>
          <t>com.logistics.rider.efood</t>
        </is>
      </c>
      <c r="AC37" s="7" t="n">
        <v>28</v>
      </c>
      <c r="AD37" s="7" t="inlineStr">
        <is>
          <t>2026-06-04</t>
        </is>
      </c>
      <c r="AE37" s="7" t="inlineStr">
        <is>
          <t>2026-06-04T00:00:00+00:00</t>
        </is>
      </c>
      <c r="AF37" s="7" t="inlineStr">
        <is>
          <t>com.logistics.rider.foodora</t>
        </is>
      </c>
    </row>
    <row r="38">
      <c r="T38" s="4" t="inlineStr">
        <is>
          <t>2026-06-05</t>
        </is>
      </c>
      <c r="U38" s="4" t="inlineStr">
        <is>
          <t>com.logistics.rider.foodora</t>
        </is>
      </c>
      <c r="V38" s="4" t="n">
        <v>14968</v>
      </c>
      <c r="X38" s="4" t="n">
        <v>13</v>
      </c>
      <c r="Y38" s="4" t="inlineStr">
        <is>
          <t>2026-06-05</t>
        </is>
      </c>
      <c r="Z38" s="4" t="inlineStr">
        <is>
          <t>2026-06-05T00:00:00+00:00</t>
        </is>
      </c>
      <c r="AA38" s="4" t="inlineStr">
        <is>
          <t>com.logistics.rider.foodora</t>
        </is>
      </c>
      <c r="AC38" s="4" t="n">
        <v>8</v>
      </c>
      <c r="AD38" s="4" t="inlineStr">
        <is>
          <t>2026-06-04</t>
        </is>
      </c>
      <c r="AE38" s="4" t="inlineStr">
        <is>
          <t>2026-06-04T00:00:00+00:00</t>
        </is>
      </c>
      <c r="AF38" s="4" t="inlineStr">
        <is>
          <t>com.logistics.rider.efood</t>
        </is>
      </c>
    </row>
    <row r="39">
      <c r="T39" s="7" t="inlineStr">
        <is>
          <t>2026-06-06</t>
        </is>
      </c>
      <c r="U39" s="7" t="inlineStr">
        <is>
          <t>com.logistics.rider.foodora</t>
        </is>
      </c>
      <c r="V39" s="7" t="n">
        <v>14113</v>
      </c>
      <c r="X39" s="7" t="n">
        <v>32</v>
      </c>
      <c r="Y39" s="7" t="inlineStr">
        <is>
          <t>2026-06-05</t>
        </is>
      </c>
      <c r="Z39" s="7" t="inlineStr">
        <is>
          <t>2026-06-05T00:00:00+00:00</t>
        </is>
      </c>
      <c r="AA39" s="7" t="inlineStr">
        <is>
          <t>com.logistics.rider.pedidosya</t>
        </is>
      </c>
      <c r="AC39" s="7" t="n">
        <v>515</v>
      </c>
      <c r="AD39" s="7" t="inlineStr">
        <is>
          <t>2026-06-04</t>
        </is>
      </c>
      <c r="AE39" s="7" t="inlineStr">
        <is>
          <t>2026-06-04T00:00:00+00:00</t>
        </is>
      </c>
      <c r="AF39" s="7" t="inlineStr">
        <is>
          <t>com.logistics.rider.foodpanda</t>
        </is>
      </c>
    </row>
    <row r="40">
      <c r="T40" s="4" t="inlineStr">
        <is>
          <t>2026-06-07</t>
        </is>
      </c>
      <c r="U40" s="4" t="inlineStr">
        <is>
          <t>com.logistics.rider.foodora</t>
        </is>
      </c>
      <c r="V40" s="4" t="n">
        <v>14162</v>
      </c>
      <c r="X40" s="4" t="n">
        <v>67</v>
      </c>
      <c r="Y40" s="4" t="inlineStr">
        <is>
          <t>2026-06-05</t>
        </is>
      </c>
      <c r="Z40" s="4" t="inlineStr">
        <is>
          <t>2026-06-05T00:00:00+00:00</t>
        </is>
      </c>
      <c r="AA40" s="4" t="inlineStr">
        <is>
          <t>com.logistics.rider.talabat</t>
        </is>
      </c>
      <c r="AC40" s="4" t="n">
        <v>1</v>
      </c>
      <c r="AD40" s="4" t="inlineStr">
        <is>
          <t>2026-06-04</t>
        </is>
      </c>
      <c r="AE40" s="4" t="inlineStr">
        <is>
          <t>2026-06-04T00:00:00+00:00</t>
        </is>
      </c>
      <c r="AF40" s="4" t="inlineStr"/>
    </row>
    <row r="41">
      <c r="T41" s="7" t="inlineStr">
        <is>
          <t>2026-06-08</t>
        </is>
      </c>
      <c r="U41" s="7" t="inlineStr">
        <is>
          <t>com.logistics.rider.foodora</t>
        </is>
      </c>
      <c r="V41" s="7" t="n">
        <v>14815</v>
      </c>
      <c r="X41" s="7" t="n">
        <v>98</v>
      </c>
      <c r="Y41" s="7" t="inlineStr">
        <is>
          <t>2026-06-05</t>
        </is>
      </c>
      <c r="Z41" s="7" t="inlineStr">
        <is>
          <t>2026-06-05T00:00:00+00:00</t>
        </is>
      </c>
      <c r="AA41" s="7" t="inlineStr"/>
      <c r="AC41" s="7" t="n">
        <v>147</v>
      </c>
      <c r="AD41" s="7" t="inlineStr">
        <is>
          <t>2026-06-05</t>
        </is>
      </c>
      <c r="AE41" s="7" t="inlineStr">
        <is>
          <t>2026-06-05T00:00:00+00:00</t>
        </is>
      </c>
      <c r="AF41" s="7" t="inlineStr">
        <is>
          <t>com.logistics.rider.glovo</t>
        </is>
      </c>
    </row>
    <row r="42">
      <c r="T42" s="4" t="inlineStr">
        <is>
          <t>2026-06-09</t>
        </is>
      </c>
      <c r="U42" s="4" t="inlineStr">
        <is>
          <t>com.logistics.rider.foodora</t>
        </is>
      </c>
      <c r="V42" s="4" t="n">
        <v>14815</v>
      </c>
      <c r="X42" s="4" t="n">
        <v>2</v>
      </c>
      <c r="Y42" s="4" t="inlineStr">
        <is>
          <t>2026-06-05</t>
        </is>
      </c>
      <c r="Z42" s="4" t="inlineStr">
        <is>
          <t>2026-06-05T00:00:00+00:00</t>
        </is>
      </c>
      <c r="AA42" s="4" t="inlineStr">
        <is>
          <t>com.logistics.rider.foody</t>
        </is>
      </c>
      <c r="AC42" s="4" t="n">
        <v>53</v>
      </c>
      <c r="AD42" s="4" t="inlineStr">
        <is>
          <t>2026-06-05</t>
        </is>
      </c>
      <c r="AE42" s="4" t="inlineStr">
        <is>
          <t>2026-06-05T00:00:00+00:00</t>
        </is>
      </c>
      <c r="AF42" s="4" t="inlineStr">
        <is>
          <t>com.logistics.rider.pedidosya</t>
        </is>
      </c>
    </row>
    <row r="43">
      <c r="T43" s="7" t="inlineStr">
        <is>
          <t>2026-06-10</t>
        </is>
      </c>
      <c r="U43" s="7" t="inlineStr">
        <is>
          <t>com.logistics.rider.foodora</t>
        </is>
      </c>
      <c r="V43" s="7" t="n">
        <v>15546</v>
      </c>
      <c r="X43" s="7" t="n">
        <v>93</v>
      </c>
      <c r="Y43" s="7" t="inlineStr">
        <is>
          <t>2026-06-05</t>
        </is>
      </c>
      <c r="Z43" s="7" t="inlineStr">
        <is>
          <t>2026-06-05T00:00:00+00:00</t>
        </is>
      </c>
      <c r="AA43" s="7" t="inlineStr">
        <is>
          <t>com.logistics.rider.glovo</t>
        </is>
      </c>
      <c r="AC43" s="7" t="n">
        <v>28</v>
      </c>
      <c r="AD43" s="7" t="inlineStr">
        <is>
          <t>2026-06-05</t>
        </is>
      </c>
      <c r="AE43" s="7" t="inlineStr">
        <is>
          <t>2026-06-05T00:00:00+00:00</t>
        </is>
      </c>
      <c r="AF43" s="7" t="inlineStr">
        <is>
          <t>com.logistics.rider.foodora</t>
        </is>
      </c>
    </row>
    <row r="44">
      <c r="T44" s="4" t="inlineStr">
        <is>
          <t>2026-06-11</t>
        </is>
      </c>
      <c r="U44" s="4" t="inlineStr">
        <is>
          <t>com.logistics.rider.foodora</t>
        </is>
      </c>
      <c r="V44" s="4" t="n">
        <v>14882</v>
      </c>
      <c r="X44" s="4" t="n">
        <v>119</v>
      </c>
      <c r="Y44" s="4" t="inlineStr">
        <is>
          <t>2026-06-05</t>
        </is>
      </c>
      <c r="Z44" s="4" t="inlineStr">
        <is>
          <t>2026-06-05T00:00:00+00:00</t>
        </is>
      </c>
      <c r="AA44" s="4" t="inlineStr">
        <is>
          <t>com.logistics.rider.foodpanda</t>
        </is>
      </c>
      <c r="AC44" s="4" t="n">
        <v>45</v>
      </c>
      <c r="AD44" s="4" t="inlineStr">
        <is>
          <t>2026-06-05</t>
        </is>
      </c>
      <c r="AE44" s="4" t="inlineStr">
        <is>
          <t>2026-06-05T00:00:00+00:00</t>
        </is>
      </c>
      <c r="AF44" s="4" t="inlineStr">
        <is>
          <t>com.logistics.rider.hungerstation</t>
        </is>
      </c>
    </row>
    <row r="45">
      <c r="T45" s="7" t="inlineStr">
        <is>
          <t>2026-06-12</t>
        </is>
      </c>
      <c r="U45" s="7" t="inlineStr">
        <is>
          <t>com.logistics.rider.foodora</t>
        </is>
      </c>
      <c r="V45" s="7" t="n">
        <v>14998</v>
      </c>
      <c r="X45" s="7" t="n">
        <v>13</v>
      </c>
      <c r="Y45" s="7" t="inlineStr">
        <is>
          <t>2026-06-05</t>
        </is>
      </c>
      <c r="Z45" s="7" t="inlineStr">
        <is>
          <t>2026-06-05T00:00:00+00:00</t>
        </is>
      </c>
      <c r="AA45" s="7" t="inlineStr">
        <is>
          <t>com.logistics.rider.hungerstation</t>
        </is>
      </c>
      <c r="AC45" s="7" t="n">
        <v>2</v>
      </c>
      <c r="AD45" s="7" t="inlineStr">
        <is>
          <t>2026-06-05</t>
        </is>
      </c>
      <c r="AE45" s="7" t="inlineStr">
        <is>
          <t>2026-06-05T00:00:00+00:00</t>
        </is>
      </c>
      <c r="AF45" s="7" t="inlineStr">
        <is>
          <t>com.logistics.rider.foody</t>
        </is>
      </c>
    </row>
    <row r="46">
      <c r="T46" s="4" t="inlineStr">
        <is>
          <t>2026-06-13</t>
        </is>
      </c>
      <c r="U46" s="4" t="inlineStr">
        <is>
          <t>com.logistics.rider.foodora</t>
        </is>
      </c>
      <c r="V46" s="4" t="n">
        <v>14354</v>
      </c>
      <c r="X46" s="4" t="n">
        <v>12</v>
      </c>
      <c r="Y46" s="4" t="inlineStr">
        <is>
          <t>2026-06-05</t>
        </is>
      </c>
      <c r="Z46" s="4" t="inlineStr">
        <is>
          <t>2026-06-05T00:00:00+00:00</t>
        </is>
      </c>
      <c r="AA46" s="4" t="inlineStr">
        <is>
          <t>com.logistics.rider.efood</t>
        </is>
      </c>
      <c r="AC46" s="4" t="n">
        <v>136</v>
      </c>
      <c r="AD46" s="4" t="inlineStr">
        <is>
          <t>2026-06-05</t>
        </is>
      </c>
      <c r="AE46" s="4" t="inlineStr">
        <is>
          <t>2026-06-05T00:00:00+00:00</t>
        </is>
      </c>
      <c r="AF46" s="4" t="inlineStr">
        <is>
          <t>com.logistics.rider.talabat</t>
        </is>
      </c>
    </row>
    <row r="47">
      <c r="T47" s="7" t="inlineStr">
        <is>
          <t>2026-06-14</t>
        </is>
      </c>
      <c r="U47" s="7" t="inlineStr">
        <is>
          <t>com.logistics.rider.foodora</t>
        </is>
      </c>
      <c r="V47" s="7" t="n">
        <v>14362</v>
      </c>
      <c r="X47" s="7" t="n">
        <v>113</v>
      </c>
      <c r="Y47" s="7" t="inlineStr">
        <is>
          <t>2026-06-06</t>
        </is>
      </c>
      <c r="Z47" s="7" t="inlineStr">
        <is>
          <t>2026-06-06T00:00:00+00:00</t>
        </is>
      </c>
      <c r="AA47" s="7" t="inlineStr">
        <is>
          <t>com.logistics.rider.foodpanda</t>
        </is>
      </c>
      <c r="AC47" s="7" t="n">
        <v>453</v>
      </c>
      <c r="AD47" s="7" t="inlineStr">
        <is>
          <t>2026-06-05</t>
        </is>
      </c>
      <c r="AE47" s="7" t="inlineStr">
        <is>
          <t>2026-06-05T00:00:00+00:00</t>
        </is>
      </c>
      <c r="AF47" s="7" t="inlineStr">
        <is>
          <t>com.logistics.rider.foodpanda</t>
        </is>
      </c>
    </row>
    <row r="48">
      <c r="T48" s="4" t="inlineStr">
        <is>
          <t>2026-06-15</t>
        </is>
      </c>
      <c r="U48" s="4" t="inlineStr">
        <is>
          <t>com.logistics.rider.foodora</t>
        </is>
      </c>
      <c r="V48" s="4" t="n">
        <v>15089</v>
      </c>
      <c r="X48" s="4" t="n">
        <v>9</v>
      </c>
      <c r="Y48" s="4" t="inlineStr">
        <is>
          <t>2026-06-06</t>
        </is>
      </c>
      <c r="Z48" s="4" t="inlineStr">
        <is>
          <t>2026-06-06T00:00:00+00:00</t>
        </is>
      </c>
      <c r="AA48" s="4" t="inlineStr">
        <is>
          <t>com.logistics.rider.efood</t>
        </is>
      </c>
      <c r="AC48" s="4" t="n">
        <v>1</v>
      </c>
      <c r="AD48" s="4" t="inlineStr">
        <is>
          <t>2026-06-05</t>
        </is>
      </c>
      <c r="AE48" s="4" t="inlineStr">
        <is>
          <t>2026-06-05T00:00:00+00:00</t>
        </is>
      </c>
      <c r="AF48" s="4" t="inlineStr">
        <is>
          <t>com.logistics.rider.woowabros</t>
        </is>
      </c>
    </row>
    <row r="49">
      <c r="T49" s="7" t="inlineStr">
        <is>
          <t>2026-06-16</t>
        </is>
      </c>
      <c r="U49" s="7" t="inlineStr">
        <is>
          <t>com.logistics.rider.foodora</t>
        </is>
      </c>
      <c r="V49" s="7" t="n">
        <v>14802</v>
      </c>
      <c r="X49" s="7" t="n">
        <v>17</v>
      </c>
      <c r="Y49" s="7" t="inlineStr">
        <is>
          <t>2026-06-06</t>
        </is>
      </c>
      <c r="Z49" s="7" t="inlineStr">
        <is>
          <t>2026-06-06T00:00:00+00:00</t>
        </is>
      </c>
      <c r="AA49" s="7" t="inlineStr">
        <is>
          <t>com.logistics.rider.hungerstation</t>
        </is>
      </c>
      <c r="AC49" s="7" t="n">
        <v>5</v>
      </c>
      <c r="AD49" s="7" t="inlineStr">
        <is>
          <t>2026-06-05</t>
        </is>
      </c>
      <c r="AE49" s="7" t="inlineStr">
        <is>
          <t>2026-06-05T00:00:00+00:00</t>
        </is>
      </c>
      <c r="AF49" s="7" t="inlineStr">
        <is>
          <t>com.logistics.rider.efood</t>
        </is>
      </c>
    </row>
    <row r="50">
      <c r="T50" s="4" t="inlineStr">
        <is>
          <t>2026-06-01</t>
        </is>
      </c>
      <c r="U50" s="4" t="inlineStr">
        <is>
          <t>com.logistics.rider.foodpanda</t>
        </is>
      </c>
      <c r="V50" s="4" t="n">
        <v>77546</v>
      </c>
      <c r="X50" s="4" t="n">
        <v>65</v>
      </c>
      <c r="Y50" s="4" t="inlineStr">
        <is>
          <t>2026-06-06</t>
        </is>
      </c>
      <c r="Z50" s="4" t="inlineStr">
        <is>
          <t>2026-06-06T00:00:00+00:00</t>
        </is>
      </c>
      <c r="AA50" s="4" t="inlineStr"/>
      <c r="AC50" s="4" t="n">
        <v>126</v>
      </c>
      <c r="AD50" s="4" t="inlineStr">
        <is>
          <t>2026-06-06</t>
        </is>
      </c>
      <c r="AE50" s="4" t="inlineStr">
        <is>
          <t>2026-06-06T00:00:00+00:00</t>
        </is>
      </c>
      <c r="AF50" s="4" t="inlineStr">
        <is>
          <t>com.logistics.rider.talabat</t>
        </is>
      </c>
    </row>
    <row r="51">
      <c r="T51" s="7" t="inlineStr">
        <is>
          <t>2026-06-02</t>
        </is>
      </c>
      <c r="U51" s="7" t="inlineStr">
        <is>
          <t>com.logistics.rider.foodpanda</t>
        </is>
      </c>
      <c r="V51" s="7" t="n">
        <v>77823</v>
      </c>
      <c r="X51" s="7" t="n">
        <v>12</v>
      </c>
      <c r="Y51" s="7" t="inlineStr">
        <is>
          <t>2026-06-06</t>
        </is>
      </c>
      <c r="Z51" s="7" t="inlineStr">
        <is>
          <t>2026-06-06T00:00:00+00:00</t>
        </is>
      </c>
      <c r="AA51" s="7" t="inlineStr">
        <is>
          <t>com.logistics.rider.foodora</t>
        </is>
      </c>
      <c r="AC51" s="7" t="n">
        <v>47</v>
      </c>
      <c r="AD51" s="7" t="inlineStr">
        <is>
          <t>2026-06-06</t>
        </is>
      </c>
      <c r="AE51" s="7" t="inlineStr">
        <is>
          <t>2026-06-06T00:00:00+00:00</t>
        </is>
      </c>
      <c r="AF51" s="7" t="inlineStr">
        <is>
          <t>com.logistics.rider.hungerstation</t>
        </is>
      </c>
    </row>
    <row r="52">
      <c r="T52" s="4" t="inlineStr">
        <is>
          <t>2026-06-03</t>
        </is>
      </c>
      <c r="U52" s="4" t="inlineStr">
        <is>
          <t>com.logistics.rider.foodpanda</t>
        </is>
      </c>
      <c r="V52" s="4" t="n">
        <v>81723</v>
      </c>
      <c r="X52" s="4" t="n">
        <v>17</v>
      </c>
      <c r="Y52" s="4" t="inlineStr">
        <is>
          <t>2026-06-06</t>
        </is>
      </c>
      <c r="Z52" s="4" t="inlineStr">
        <is>
          <t>2026-06-06T00:00:00+00:00</t>
        </is>
      </c>
      <c r="AA52" s="4" t="inlineStr">
        <is>
          <t>com.logistics.rider.hungerstation</t>
        </is>
      </c>
      <c r="AC52" s="4" t="n">
        <v>518</v>
      </c>
      <c r="AD52" s="4" t="inlineStr">
        <is>
          <t>2026-06-06</t>
        </is>
      </c>
      <c r="AE52" s="4" t="inlineStr">
        <is>
          <t>2026-06-06T00:00:00+00:00</t>
        </is>
      </c>
      <c r="AF52" s="4" t="inlineStr">
        <is>
          <t>com.logistics.rider.foodpanda</t>
        </is>
      </c>
    </row>
    <row r="53">
      <c r="T53" s="7" t="inlineStr">
        <is>
          <t>2026-06-04</t>
        </is>
      </c>
      <c r="U53" s="7" t="inlineStr">
        <is>
          <t>com.logistics.rider.foodpanda</t>
        </is>
      </c>
      <c r="V53" s="7" t="n">
        <v>78398</v>
      </c>
      <c r="X53" s="7" t="n">
        <v>113</v>
      </c>
      <c r="Y53" s="7" t="inlineStr">
        <is>
          <t>2026-06-06</t>
        </is>
      </c>
      <c r="Z53" s="7" t="inlineStr">
        <is>
          <t>2026-06-06T00:00:00+00:00</t>
        </is>
      </c>
      <c r="AA53" s="7" t="inlineStr">
        <is>
          <t>com.logistics.rider.foodpanda</t>
        </is>
      </c>
      <c r="AC53" s="7" t="n">
        <v>1</v>
      </c>
      <c r="AD53" s="7" t="inlineStr">
        <is>
          <t>2026-06-06</t>
        </is>
      </c>
      <c r="AE53" s="7" t="inlineStr">
        <is>
          <t>2026-06-06T00:00:00+00:00</t>
        </is>
      </c>
      <c r="AF53" s="7" t="inlineStr">
        <is>
          <t>com.logistics.rider.foody</t>
        </is>
      </c>
    </row>
    <row r="54">
      <c r="T54" s="4" t="inlineStr">
        <is>
          <t>2026-06-05</t>
        </is>
      </c>
      <c r="U54" s="4" t="inlineStr">
        <is>
          <t>com.logistics.rider.foodpanda</t>
        </is>
      </c>
      <c r="V54" s="4" t="n">
        <v>78030</v>
      </c>
      <c r="X54" s="4" t="n">
        <v>9</v>
      </c>
      <c r="Y54" s="4" t="inlineStr">
        <is>
          <t>2026-06-06</t>
        </is>
      </c>
      <c r="Z54" s="4" t="inlineStr">
        <is>
          <t>2026-06-06T00:00:00+00:00</t>
        </is>
      </c>
      <c r="AA54" s="4" t="inlineStr">
        <is>
          <t>com.logistics.rider.efood</t>
        </is>
      </c>
      <c r="AC54" s="4" t="n">
        <v>47</v>
      </c>
      <c r="AD54" s="4" t="inlineStr">
        <is>
          <t>2026-06-06</t>
        </is>
      </c>
      <c r="AE54" s="4" t="inlineStr">
        <is>
          <t>2026-06-06T00:00:00+00:00</t>
        </is>
      </c>
      <c r="AF54" s="4" t="inlineStr">
        <is>
          <t>com.logistics.rider.hungerstation</t>
        </is>
      </c>
    </row>
    <row r="55">
      <c r="T55" s="7" t="inlineStr">
        <is>
          <t>2026-06-06</t>
        </is>
      </c>
      <c r="U55" s="7" t="inlineStr">
        <is>
          <t>com.logistics.rider.foodpanda</t>
        </is>
      </c>
      <c r="V55" s="7" t="n">
        <v>76646</v>
      </c>
      <c r="X55" s="7" t="n">
        <v>66</v>
      </c>
      <c r="Y55" s="7" t="inlineStr">
        <is>
          <t>2026-06-07</t>
        </is>
      </c>
      <c r="Z55" s="7" t="inlineStr">
        <is>
          <t>2026-06-07T00:00:00+00:00</t>
        </is>
      </c>
      <c r="AA55" s="7" t="inlineStr"/>
      <c r="AC55" s="7" t="n">
        <v>29</v>
      </c>
      <c r="AD55" s="7" t="inlineStr">
        <is>
          <t>2026-06-06</t>
        </is>
      </c>
      <c r="AE55" s="7" t="inlineStr">
        <is>
          <t>2026-06-06T00:00:00+00:00</t>
        </is>
      </c>
      <c r="AF55" s="7" t="inlineStr">
        <is>
          <t>com.logistics.rider.foodora</t>
        </is>
      </c>
    </row>
    <row r="56">
      <c r="T56" s="4" t="inlineStr">
        <is>
          <t>2026-06-07</t>
        </is>
      </c>
      <c r="U56" s="4" t="inlineStr">
        <is>
          <t>com.logistics.rider.foodpanda</t>
        </is>
      </c>
      <c r="V56" s="4" t="n">
        <v>76742</v>
      </c>
      <c r="X56" s="4" t="n">
        <v>35</v>
      </c>
      <c r="Y56" s="4" t="inlineStr">
        <is>
          <t>2026-06-07</t>
        </is>
      </c>
      <c r="Z56" s="4" t="inlineStr">
        <is>
          <t>2026-06-07T00:00:00+00:00</t>
        </is>
      </c>
      <c r="AA56" s="4" t="inlineStr">
        <is>
          <t>com.logistics.rider.pedidosya</t>
        </is>
      </c>
      <c r="AC56" s="4" t="n">
        <v>127</v>
      </c>
      <c r="AD56" s="4" t="inlineStr">
        <is>
          <t>2026-06-06</t>
        </is>
      </c>
      <c r="AE56" s="4" t="inlineStr">
        <is>
          <t>2026-06-06T00:00:00+00:00</t>
        </is>
      </c>
      <c r="AF56" s="4" t="inlineStr">
        <is>
          <t>com.logistics.rider.glovo</t>
        </is>
      </c>
    </row>
    <row r="57">
      <c r="T57" s="7" t="inlineStr">
        <is>
          <t>2026-06-08</t>
        </is>
      </c>
      <c r="U57" s="7" t="inlineStr">
        <is>
          <t>com.logistics.rider.foodpanda</t>
        </is>
      </c>
      <c r="V57" s="7" t="n">
        <v>79003</v>
      </c>
      <c r="X57" s="7" t="n">
        <v>2</v>
      </c>
      <c r="Y57" s="7" t="inlineStr">
        <is>
          <t>2026-06-07</t>
        </is>
      </c>
      <c r="Z57" s="7" t="inlineStr">
        <is>
          <t>2026-06-07T00:00:00+00:00</t>
        </is>
      </c>
      <c r="AA57" s="7" t="inlineStr">
        <is>
          <t>com.logistics.rider.foody</t>
        </is>
      </c>
      <c r="AC57" s="7" t="n">
        <v>126</v>
      </c>
      <c r="AD57" s="7" t="inlineStr">
        <is>
          <t>2026-06-06</t>
        </is>
      </c>
      <c r="AE57" s="7" t="inlineStr">
        <is>
          <t>2026-06-06T00:00:00+00:00</t>
        </is>
      </c>
      <c r="AF57" s="7" t="inlineStr">
        <is>
          <t>com.logistics.rider.talabat</t>
        </is>
      </c>
    </row>
    <row r="58">
      <c r="T58" s="4" t="inlineStr">
        <is>
          <t>2026-06-09</t>
        </is>
      </c>
      <c r="U58" s="4" t="inlineStr">
        <is>
          <t>com.logistics.rider.foodpanda</t>
        </is>
      </c>
      <c r="V58" s="4" t="n">
        <v>78849</v>
      </c>
      <c r="X58" s="4" t="n">
        <v>14</v>
      </c>
      <c r="Y58" s="4" t="inlineStr">
        <is>
          <t>2026-06-07</t>
        </is>
      </c>
      <c r="Z58" s="4" t="inlineStr">
        <is>
          <t>2026-06-07T00:00:00+00:00</t>
        </is>
      </c>
      <c r="AA58" s="4" t="inlineStr">
        <is>
          <t>com.logistics.rider.efood</t>
        </is>
      </c>
      <c r="AC58" s="4" t="n">
        <v>4</v>
      </c>
      <c r="AD58" s="4" t="inlineStr">
        <is>
          <t>2026-06-06</t>
        </is>
      </c>
      <c r="AE58" s="4" t="inlineStr">
        <is>
          <t>2026-06-06T00:00:00+00:00</t>
        </is>
      </c>
      <c r="AF58" s="4" t="inlineStr">
        <is>
          <t>com.logistics.rider.efood</t>
        </is>
      </c>
    </row>
    <row r="59">
      <c r="T59" s="7" t="inlineStr">
        <is>
          <t>2026-06-10</t>
        </is>
      </c>
      <c r="U59" s="7" t="inlineStr">
        <is>
          <t>com.logistics.rider.foodpanda</t>
        </is>
      </c>
      <c r="V59" s="7" t="n">
        <v>80667</v>
      </c>
      <c r="X59" s="7" t="n">
        <v>19</v>
      </c>
      <c r="Y59" s="7" t="inlineStr">
        <is>
          <t>2026-06-07</t>
        </is>
      </c>
      <c r="Z59" s="7" t="inlineStr">
        <is>
          <t>2026-06-07T00:00:00+00:00</t>
        </is>
      </c>
      <c r="AA59" s="7" t="inlineStr">
        <is>
          <t>com.logistics.rider.foodora</t>
        </is>
      </c>
      <c r="AC59" s="7" t="n">
        <v>28</v>
      </c>
      <c r="AD59" s="7" t="inlineStr">
        <is>
          <t>2026-06-07</t>
        </is>
      </c>
      <c r="AE59" s="7" t="inlineStr">
        <is>
          <t>2026-06-07T00:00:00+00:00</t>
        </is>
      </c>
      <c r="AF59" s="7" t="inlineStr">
        <is>
          <t>com.logistics.rider.foodora</t>
        </is>
      </c>
    </row>
    <row r="60">
      <c r="T60" s="4" t="inlineStr">
        <is>
          <t>2026-06-11</t>
        </is>
      </c>
      <c r="U60" s="4" t="inlineStr">
        <is>
          <t>com.logistics.rider.foodpanda</t>
        </is>
      </c>
      <c r="V60" s="4" t="n">
        <v>78640</v>
      </c>
      <c r="X60" s="4" t="n">
        <v>82</v>
      </c>
      <c r="Y60" s="4" t="inlineStr">
        <is>
          <t>2026-06-07</t>
        </is>
      </c>
      <c r="Z60" s="4" t="inlineStr">
        <is>
          <t>2026-06-07T00:00:00+00:00</t>
        </is>
      </c>
      <c r="AA60" s="4" t="inlineStr">
        <is>
          <t>com.logistics.rider.glovo</t>
        </is>
      </c>
      <c r="AC60" s="4" t="n">
        <v>474</v>
      </c>
      <c r="AD60" s="4" t="inlineStr">
        <is>
          <t>2026-06-07</t>
        </is>
      </c>
      <c r="AE60" s="4" t="inlineStr">
        <is>
          <t>2026-06-07T00:00:00+00:00</t>
        </is>
      </c>
      <c r="AF60" s="4" t="inlineStr">
        <is>
          <t>com.logistics.rider.foodpanda</t>
        </is>
      </c>
    </row>
    <row r="61">
      <c r="T61" s="7" t="inlineStr">
        <is>
          <t>2026-06-12</t>
        </is>
      </c>
      <c r="U61" s="7" t="inlineStr">
        <is>
          <t>com.logistics.rider.foodpanda</t>
        </is>
      </c>
      <c r="V61" s="7" t="n">
        <v>79108</v>
      </c>
      <c r="X61" s="7" t="n">
        <v>124</v>
      </c>
      <c r="Y61" s="7" t="inlineStr">
        <is>
          <t>2026-06-07</t>
        </is>
      </c>
      <c r="Z61" s="7" t="inlineStr">
        <is>
          <t>2026-06-07T00:00:00+00:00</t>
        </is>
      </c>
      <c r="AA61" s="7" t="inlineStr">
        <is>
          <t>com.logistics.rider.foodpanda</t>
        </is>
      </c>
      <c r="AC61" s="7" t="n">
        <v>2</v>
      </c>
      <c r="AD61" s="7" t="inlineStr">
        <is>
          <t>2026-06-07</t>
        </is>
      </c>
      <c r="AE61" s="7" t="inlineStr">
        <is>
          <t>2026-06-07T00:00:00+00:00</t>
        </is>
      </c>
      <c r="AF61" s="7" t="inlineStr">
        <is>
          <t>com.logistics.rider.woowabros</t>
        </is>
      </c>
    </row>
    <row r="62">
      <c r="T62" s="4" t="inlineStr">
        <is>
          <t>2026-06-13</t>
        </is>
      </c>
      <c r="U62" s="4" t="inlineStr">
        <is>
          <t>com.logistics.rider.foodpanda</t>
        </is>
      </c>
      <c r="V62" s="4" t="n">
        <v>76911</v>
      </c>
      <c r="X62" s="4" t="n">
        <v>55</v>
      </c>
      <c r="Y62" s="4" t="inlineStr">
        <is>
          <t>2026-06-07</t>
        </is>
      </c>
      <c r="Z62" s="4" t="inlineStr">
        <is>
          <t>2026-06-07T00:00:00+00:00</t>
        </is>
      </c>
      <c r="AA62" s="4" t="inlineStr">
        <is>
          <t>com.logistics.rider.talabat</t>
        </is>
      </c>
      <c r="AC62" s="4" t="n">
        <v>1</v>
      </c>
      <c r="AD62" s="4" t="inlineStr">
        <is>
          <t>2026-06-07</t>
        </is>
      </c>
      <c r="AE62" s="4" t="inlineStr">
        <is>
          <t>2026-06-07T00:00:00+00:00</t>
        </is>
      </c>
      <c r="AF62" s="4" t="inlineStr">
        <is>
          <t>com.logistics.rider.efood</t>
        </is>
      </c>
    </row>
    <row r="63">
      <c r="T63" s="7" t="inlineStr">
        <is>
          <t>2026-06-14</t>
        </is>
      </c>
      <c r="U63" s="7" t="inlineStr">
        <is>
          <t>com.logistics.rider.foodpanda</t>
        </is>
      </c>
      <c r="V63" s="7" t="n">
        <v>77273</v>
      </c>
      <c r="X63" s="7" t="n">
        <v>15</v>
      </c>
      <c r="Y63" s="7" t="inlineStr">
        <is>
          <t>2026-06-07</t>
        </is>
      </c>
      <c r="Z63" s="7" t="inlineStr">
        <is>
          <t>2026-06-07T00:00:00+00:00</t>
        </is>
      </c>
      <c r="AA63" s="7" t="inlineStr">
        <is>
          <t>com.logistics.rider.hungerstation</t>
        </is>
      </c>
      <c r="AC63" s="7" t="n">
        <v>1</v>
      </c>
      <c r="AD63" s="7" t="inlineStr">
        <is>
          <t>2026-06-07</t>
        </is>
      </c>
      <c r="AE63" s="7" t="inlineStr">
        <is>
          <t>2026-06-07T00:00:00+00:00</t>
        </is>
      </c>
      <c r="AF63" s="7" t="inlineStr">
        <is>
          <t>com.logistics.rider.foody</t>
        </is>
      </c>
    </row>
    <row r="64">
      <c r="T64" s="4" t="inlineStr">
        <is>
          <t>2026-06-15</t>
        </is>
      </c>
      <c r="U64" s="4" t="inlineStr">
        <is>
          <t>com.logistics.rider.foodpanda</t>
        </is>
      </c>
      <c r="V64" s="4" t="n">
        <v>80657</v>
      </c>
      <c r="X64" s="4" t="n">
        <v>1</v>
      </c>
      <c r="Y64" s="4" t="inlineStr">
        <is>
          <t>2026-06-07</t>
        </is>
      </c>
      <c r="Z64" s="4" t="inlineStr">
        <is>
          <t>2026-06-07T00:00:00+00:00</t>
        </is>
      </c>
      <c r="AA64" s="4" t="inlineStr">
        <is>
          <t>com.logistics.rider.woowabros</t>
        </is>
      </c>
      <c r="AC64" s="4" t="n">
        <v>138</v>
      </c>
      <c r="AD64" s="4" t="inlineStr">
        <is>
          <t>2026-06-07</t>
        </is>
      </c>
      <c r="AE64" s="4" t="inlineStr">
        <is>
          <t>2026-06-07T00:00:00+00:00</t>
        </is>
      </c>
      <c r="AF64" s="4" t="inlineStr">
        <is>
          <t>com.logistics.rider.talabat</t>
        </is>
      </c>
    </row>
    <row r="65">
      <c r="T65" s="7" t="inlineStr">
        <is>
          <t>2026-06-16</t>
        </is>
      </c>
      <c r="U65" s="7" t="inlineStr">
        <is>
          <t>com.logistics.rider.foodpanda</t>
        </is>
      </c>
      <c r="V65" s="7" t="n">
        <v>79898</v>
      </c>
      <c r="X65" s="7" t="n">
        <v>2</v>
      </c>
      <c r="Y65" s="7" t="inlineStr">
        <is>
          <t>2026-06-08</t>
        </is>
      </c>
      <c r="Z65" s="7" t="inlineStr">
        <is>
          <t>2026-06-08T00:00:00+00:00</t>
        </is>
      </c>
      <c r="AA65" s="7" t="inlineStr">
        <is>
          <t>com.logistics.rider.foody</t>
        </is>
      </c>
      <c r="AC65" s="7" t="n">
        <v>129</v>
      </c>
      <c r="AD65" s="7" t="inlineStr">
        <is>
          <t>2026-06-07</t>
        </is>
      </c>
      <c r="AE65" s="7" t="inlineStr">
        <is>
          <t>2026-06-07T00:00:00+00:00</t>
        </is>
      </c>
      <c r="AF65" s="7" t="inlineStr">
        <is>
          <t>com.logistics.rider.glovo</t>
        </is>
      </c>
    </row>
    <row r="66">
      <c r="T66" s="4" t="inlineStr">
        <is>
          <t>2026-06-01</t>
        </is>
      </c>
      <c r="U66" s="4" t="inlineStr">
        <is>
          <t>com.logistics.rider.foody</t>
        </is>
      </c>
      <c r="V66" s="4" t="n">
        <v>721</v>
      </c>
      <c r="X66" s="4" t="n">
        <v>62</v>
      </c>
      <c r="Y66" s="4" t="inlineStr">
        <is>
          <t>2026-06-08</t>
        </is>
      </c>
      <c r="Z66" s="4" t="inlineStr">
        <is>
          <t>2026-06-08T00:00:00+00:00</t>
        </is>
      </c>
      <c r="AA66" s="4" t="inlineStr"/>
      <c r="AC66" s="4" t="n">
        <v>41</v>
      </c>
      <c r="AD66" s="4" t="inlineStr">
        <is>
          <t>2026-06-07</t>
        </is>
      </c>
      <c r="AE66" s="4" t="inlineStr">
        <is>
          <t>2026-06-07T00:00:00+00:00</t>
        </is>
      </c>
      <c r="AF66" s="4" t="inlineStr">
        <is>
          <t>com.logistics.rider.hungerstation</t>
        </is>
      </c>
    </row>
    <row r="67">
      <c r="T67" s="7" t="inlineStr">
        <is>
          <t>2026-06-02</t>
        </is>
      </c>
      <c r="U67" s="7" t="inlineStr">
        <is>
          <t>com.logistics.rider.foody</t>
        </is>
      </c>
      <c r="V67" s="7" t="n">
        <v>715</v>
      </c>
      <c r="X67" s="7" t="n">
        <v>72</v>
      </c>
      <c r="Y67" s="7" t="inlineStr">
        <is>
          <t>2026-06-08</t>
        </is>
      </c>
      <c r="Z67" s="7" t="inlineStr">
        <is>
          <t>2026-06-08T00:00:00+00:00</t>
        </is>
      </c>
      <c r="AA67" s="7" t="inlineStr">
        <is>
          <t>com.logistics.rider.talabat</t>
        </is>
      </c>
      <c r="AC67" s="7" t="n">
        <v>53</v>
      </c>
      <c r="AD67" s="7" t="inlineStr">
        <is>
          <t>2026-06-07</t>
        </is>
      </c>
      <c r="AE67" s="7" t="inlineStr">
        <is>
          <t>2026-06-07T00:00:00+00:00</t>
        </is>
      </c>
      <c r="AF67" s="7" t="inlineStr">
        <is>
          <t>com.logistics.rider.pedidosya</t>
        </is>
      </c>
    </row>
    <row r="68">
      <c r="T68" s="4" t="inlineStr">
        <is>
          <t>2026-06-03</t>
        </is>
      </c>
      <c r="U68" s="4" t="inlineStr">
        <is>
          <t>com.logistics.rider.foody</t>
        </is>
      </c>
      <c r="V68" s="4" t="n">
        <v>745</v>
      </c>
      <c r="X68" s="4" t="n">
        <v>71</v>
      </c>
      <c r="Y68" s="4" t="inlineStr">
        <is>
          <t>2026-06-08</t>
        </is>
      </c>
      <c r="Z68" s="4" t="inlineStr">
        <is>
          <t>2026-06-08T00:00:00+00:00</t>
        </is>
      </c>
      <c r="AA68" s="4" t="inlineStr">
        <is>
          <t>com.logistics.rider.glovo</t>
        </is>
      </c>
      <c r="AC68" s="4" t="n">
        <v>50</v>
      </c>
      <c r="AD68" s="4" t="inlineStr">
        <is>
          <t>2026-06-08</t>
        </is>
      </c>
      <c r="AE68" s="4" t="inlineStr">
        <is>
          <t>2026-06-08T00:00:00+00:00</t>
        </is>
      </c>
      <c r="AF68" s="4" t="inlineStr">
        <is>
          <t>com.logistics.rider.pedidosya</t>
        </is>
      </c>
    </row>
    <row r="69">
      <c r="T69" s="7" t="inlineStr">
        <is>
          <t>2026-06-04</t>
        </is>
      </c>
      <c r="U69" s="7" t="inlineStr">
        <is>
          <t>com.logistics.rider.foody</t>
        </is>
      </c>
      <c r="V69" s="7" t="n">
        <v>702</v>
      </c>
      <c r="X69" s="7" t="n">
        <v>13</v>
      </c>
      <c r="Y69" s="7" t="inlineStr">
        <is>
          <t>2026-06-08</t>
        </is>
      </c>
      <c r="Z69" s="7" t="inlineStr">
        <is>
          <t>2026-06-08T00:00:00+00:00</t>
        </is>
      </c>
      <c r="AA69" s="7" t="inlineStr">
        <is>
          <t>com.logistics.rider.hungerstation</t>
        </is>
      </c>
      <c r="AC69" s="7" t="n">
        <v>163</v>
      </c>
      <c r="AD69" s="7" t="inlineStr">
        <is>
          <t>2026-06-08</t>
        </is>
      </c>
      <c r="AE69" s="7" t="inlineStr">
        <is>
          <t>2026-06-08T00:00:00+00:00</t>
        </is>
      </c>
      <c r="AF69" s="7" t="inlineStr">
        <is>
          <t>com.logistics.rider.talabat</t>
        </is>
      </c>
    </row>
    <row r="70">
      <c r="T70" s="4" t="inlineStr">
        <is>
          <t>2026-06-05</t>
        </is>
      </c>
      <c r="U70" s="4" t="inlineStr">
        <is>
          <t>com.logistics.rider.foody</t>
        </is>
      </c>
      <c r="V70" s="4" t="n">
        <v>743</v>
      </c>
      <c r="X70" s="4" t="n">
        <v>35</v>
      </c>
      <c r="Y70" s="4" t="inlineStr">
        <is>
          <t>2026-06-08</t>
        </is>
      </c>
      <c r="Z70" s="4" t="inlineStr">
        <is>
          <t>2026-06-08T00:00:00+00:00</t>
        </is>
      </c>
      <c r="AA70" s="4" t="inlineStr">
        <is>
          <t>com.logistics.rider.pedidosya</t>
        </is>
      </c>
      <c r="AC70" s="4" t="n">
        <v>430</v>
      </c>
      <c r="AD70" s="4" t="inlineStr">
        <is>
          <t>2026-06-08</t>
        </is>
      </c>
      <c r="AE70" s="4" t="inlineStr">
        <is>
          <t>2026-06-08T00:00:00+00:00</t>
        </is>
      </c>
      <c r="AF70" s="4" t="inlineStr">
        <is>
          <t>com.logistics.rider.foodpanda</t>
        </is>
      </c>
    </row>
    <row r="71">
      <c r="T71" s="7" t="inlineStr">
        <is>
          <t>2026-06-06</t>
        </is>
      </c>
      <c r="U71" s="7" t="inlineStr">
        <is>
          <t>com.logistics.rider.foody</t>
        </is>
      </c>
      <c r="V71" s="7" t="n">
        <v>700</v>
      </c>
      <c r="X71" s="7" t="n">
        <v>101</v>
      </c>
      <c r="Y71" s="7" t="inlineStr">
        <is>
          <t>2026-06-08</t>
        </is>
      </c>
      <c r="Z71" s="7" t="inlineStr">
        <is>
          <t>2026-06-08T00:00:00+00:00</t>
        </is>
      </c>
      <c r="AA71" s="7" t="inlineStr">
        <is>
          <t>com.logistics.rider.foodpanda</t>
        </is>
      </c>
      <c r="AC71" s="7" t="n">
        <v>4</v>
      </c>
      <c r="AD71" s="7" t="inlineStr">
        <is>
          <t>2026-06-08</t>
        </is>
      </c>
      <c r="AE71" s="7" t="inlineStr">
        <is>
          <t>2026-06-08T00:00:00+00:00</t>
        </is>
      </c>
      <c r="AF71" s="7" t="inlineStr">
        <is>
          <t>com.logistics.rider.woowabros</t>
        </is>
      </c>
    </row>
    <row r="72">
      <c r="T72" s="4" t="inlineStr">
        <is>
          <t>2026-06-07</t>
        </is>
      </c>
      <c r="U72" s="4" t="inlineStr">
        <is>
          <t>com.logistics.rider.foody</t>
        </is>
      </c>
      <c r="V72" s="4" t="n">
        <v>696</v>
      </c>
      <c r="X72" s="4" t="n">
        <v>8</v>
      </c>
      <c r="Y72" s="4" t="inlineStr">
        <is>
          <t>2026-06-08</t>
        </is>
      </c>
      <c r="Z72" s="4" t="inlineStr">
        <is>
          <t>2026-06-08T00:00:00+00:00</t>
        </is>
      </c>
      <c r="AA72" s="4" t="inlineStr">
        <is>
          <t>com.logistics.rider.efood</t>
        </is>
      </c>
      <c r="AC72" s="4" t="n">
        <v>2</v>
      </c>
      <c r="AD72" s="4" t="inlineStr">
        <is>
          <t>2026-06-08</t>
        </is>
      </c>
      <c r="AE72" s="4" t="inlineStr">
        <is>
          <t>2026-06-08T00:00:00+00:00</t>
        </is>
      </c>
      <c r="AF72" s="4" t="inlineStr">
        <is>
          <t>com.logistics.rider.foody</t>
        </is>
      </c>
    </row>
    <row r="73">
      <c r="T73" s="7" t="inlineStr">
        <is>
          <t>2026-06-08</t>
        </is>
      </c>
      <c r="U73" s="7" t="inlineStr">
        <is>
          <t>com.logistics.rider.foody</t>
        </is>
      </c>
      <c r="V73" s="7" t="n">
        <v>750</v>
      </c>
      <c r="X73" s="7" t="n">
        <v>10</v>
      </c>
      <c r="Y73" s="7" t="inlineStr">
        <is>
          <t>2026-06-08</t>
        </is>
      </c>
      <c r="Z73" s="7" t="inlineStr">
        <is>
          <t>2026-06-08T00:00:00+00:00</t>
        </is>
      </c>
      <c r="AA73" s="7" t="inlineStr">
        <is>
          <t>com.logistics.rider.foodora</t>
        </is>
      </c>
      <c r="AC73" s="7" t="n">
        <v>130</v>
      </c>
      <c r="AD73" s="7" t="inlineStr">
        <is>
          <t>2026-06-08</t>
        </is>
      </c>
      <c r="AE73" s="7" t="inlineStr">
        <is>
          <t>2026-06-08T00:00:00+00:00</t>
        </is>
      </c>
      <c r="AF73" s="7" t="inlineStr">
        <is>
          <t>com.logistics.rider.glovo</t>
        </is>
      </c>
    </row>
    <row r="74">
      <c r="T74" s="4" t="inlineStr">
        <is>
          <t>2026-06-09</t>
        </is>
      </c>
      <c r="U74" s="4" t="inlineStr">
        <is>
          <t>com.logistics.rider.foody</t>
        </is>
      </c>
      <c r="V74" s="4" t="n">
        <v>729</v>
      </c>
      <c r="X74" s="4" t="n">
        <v>11</v>
      </c>
      <c r="Y74" s="4" t="inlineStr">
        <is>
          <t>2026-06-09</t>
        </is>
      </c>
      <c r="Z74" s="4" t="inlineStr">
        <is>
          <t>2026-06-09T00:00:00+00:00</t>
        </is>
      </c>
      <c r="AA74" s="4" t="inlineStr">
        <is>
          <t>com.logistics.rider.foodora</t>
        </is>
      </c>
      <c r="AC74" s="4" t="n">
        <v>59</v>
      </c>
      <c r="AD74" s="4" t="inlineStr">
        <is>
          <t>2026-06-08</t>
        </is>
      </c>
      <c r="AE74" s="4" t="inlineStr">
        <is>
          <t>2026-06-08T00:00:00+00:00</t>
        </is>
      </c>
      <c r="AF74" s="4" t="inlineStr">
        <is>
          <t>com.logistics.rider.hungerstation</t>
        </is>
      </c>
    </row>
    <row r="75">
      <c r="T75" s="7" t="inlineStr">
        <is>
          <t>2026-06-10</t>
        </is>
      </c>
      <c r="U75" s="7" t="inlineStr">
        <is>
          <t>com.logistics.rider.foody</t>
        </is>
      </c>
      <c r="V75" s="7" t="n">
        <v>748</v>
      </c>
      <c r="X75" s="7" t="n">
        <v>14</v>
      </c>
      <c r="Y75" s="7" t="inlineStr">
        <is>
          <t>2026-06-09</t>
        </is>
      </c>
      <c r="Z75" s="7" t="inlineStr">
        <is>
          <t>2026-06-09T00:00:00+00:00</t>
        </is>
      </c>
      <c r="AA75" s="7" t="inlineStr">
        <is>
          <t>com.logistics.rider.efood</t>
        </is>
      </c>
      <c r="AC75" s="7" t="n">
        <v>27</v>
      </c>
      <c r="AD75" s="7" t="inlineStr">
        <is>
          <t>2026-06-08</t>
        </is>
      </c>
      <c r="AE75" s="7" t="inlineStr">
        <is>
          <t>2026-06-08T00:00:00+00:00</t>
        </is>
      </c>
      <c r="AF75" s="7" t="inlineStr">
        <is>
          <t>com.logistics.rider.foodora</t>
        </is>
      </c>
    </row>
    <row r="76">
      <c r="T76" s="4" t="inlineStr">
        <is>
          <t>2026-06-11</t>
        </is>
      </c>
      <c r="U76" s="4" t="inlineStr">
        <is>
          <t>com.logistics.rider.foody</t>
        </is>
      </c>
      <c r="V76" s="4" t="n">
        <v>736</v>
      </c>
      <c r="X76" s="4" t="n">
        <v>4</v>
      </c>
      <c r="Y76" s="4" t="inlineStr">
        <is>
          <t>2026-06-09</t>
        </is>
      </c>
      <c r="Z76" s="4" t="inlineStr">
        <is>
          <t>2026-06-09T00:00:00+00:00</t>
        </is>
      </c>
      <c r="AA76" s="4" t="inlineStr">
        <is>
          <t>com.logistics.rider.foody</t>
        </is>
      </c>
      <c r="AC76" s="4" t="n">
        <v>5</v>
      </c>
      <c r="AD76" s="4" t="inlineStr">
        <is>
          <t>2026-06-08</t>
        </is>
      </c>
      <c r="AE76" s="4" t="inlineStr">
        <is>
          <t>2026-06-08T00:00:00+00:00</t>
        </is>
      </c>
      <c r="AF76" s="4" t="inlineStr">
        <is>
          <t>com.logistics.rider.efood</t>
        </is>
      </c>
    </row>
    <row r="77">
      <c r="T77" s="7" t="inlineStr">
        <is>
          <t>2026-06-12</t>
        </is>
      </c>
      <c r="U77" s="7" t="inlineStr">
        <is>
          <t>com.logistics.rider.foody</t>
        </is>
      </c>
      <c r="V77" s="7" t="n">
        <v>737</v>
      </c>
      <c r="X77" s="7" t="n">
        <v>67</v>
      </c>
      <c r="Y77" s="7" t="inlineStr">
        <is>
          <t>2026-06-09</t>
        </is>
      </c>
      <c r="Z77" s="7" t="inlineStr">
        <is>
          <t>2026-06-09T00:00:00+00:00</t>
        </is>
      </c>
      <c r="AA77" s="7" t="inlineStr">
        <is>
          <t>com.logistics.rider.talabat</t>
        </is>
      </c>
      <c r="AC77" s="7" t="n">
        <v>4</v>
      </c>
      <c r="AD77" s="7" t="inlineStr">
        <is>
          <t>2026-06-09</t>
        </is>
      </c>
      <c r="AE77" s="7" t="inlineStr">
        <is>
          <t>2026-06-09T00:00:00+00:00</t>
        </is>
      </c>
      <c r="AF77" s="7" t="inlineStr">
        <is>
          <t>com.logistics.rider.foody</t>
        </is>
      </c>
    </row>
    <row r="78">
      <c r="T78" s="4" t="inlineStr">
        <is>
          <t>2026-06-13</t>
        </is>
      </c>
      <c r="U78" s="4" t="inlineStr">
        <is>
          <t>com.logistics.rider.foody</t>
        </is>
      </c>
      <c r="V78" s="4" t="n">
        <v>707</v>
      </c>
      <c r="X78" s="4" t="n">
        <v>125</v>
      </c>
      <c r="Y78" s="4" t="inlineStr">
        <is>
          <t>2026-06-09</t>
        </is>
      </c>
      <c r="Z78" s="4" t="inlineStr">
        <is>
          <t>2026-06-09T00:00:00+00:00</t>
        </is>
      </c>
      <c r="AA78" s="4" t="inlineStr">
        <is>
          <t>com.logistics.rider.foodpanda</t>
        </is>
      </c>
      <c r="AC78" s="4" t="n">
        <v>125</v>
      </c>
      <c r="AD78" s="4" t="inlineStr">
        <is>
          <t>2026-06-09</t>
        </is>
      </c>
      <c r="AE78" s="4" t="inlineStr">
        <is>
          <t>2026-06-09T00:00:00+00:00</t>
        </is>
      </c>
      <c r="AF78" s="4" t="inlineStr">
        <is>
          <t>com.logistics.rider.glovo</t>
        </is>
      </c>
    </row>
    <row r="79">
      <c r="T79" s="7" t="inlineStr">
        <is>
          <t>2026-06-14</t>
        </is>
      </c>
      <c r="U79" s="7" t="inlineStr">
        <is>
          <t>com.logistics.rider.foody</t>
        </is>
      </c>
      <c r="V79" s="7" t="n">
        <v>713</v>
      </c>
      <c r="X79" s="7" t="n">
        <v>70</v>
      </c>
      <c r="Y79" s="7" t="inlineStr">
        <is>
          <t>2026-06-09</t>
        </is>
      </c>
      <c r="Z79" s="7" t="inlineStr">
        <is>
          <t>2026-06-09T00:00:00+00:00</t>
        </is>
      </c>
      <c r="AA79" s="7" t="inlineStr"/>
      <c r="AC79" s="7" t="n">
        <v>8</v>
      </c>
      <c r="AD79" s="7" t="inlineStr">
        <is>
          <t>2026-06-09</t>
        </is>
      </c>
      <c r="AE79" s="7" t="inlineStr">
        <is>
          <t>2026-06-09T00:00:00+00:00</t>
        </is>
      </c>
      <c r="AF79" s="7" t="inlineStr">
        <is>
          <t>com.logistics.rider.efood</t>
        </is>
      </c>
    </row>
    <row r="80">
      <c r="T80" s="4" t="inlineStr">
        <is>
          <t>2026-06-15</t>
        </is>
      </c>
      <c r="U80" s="4" t="inlineStr">
        <is>
          <t>com.logistics.rider.foody</t>
        </is>
      </c>
      <c r="V80" s="4" t="n">
        <v>786</v>
      </c>
      <c r="X80" s="4" t="n">
        <v>17</v>
      </c>
      <c r="Y80" s="4" t="inlineStr">
        <is>
          <t>2026-06-09</t>
        </is>
      </c>
      <c r="Z80" s="4" t="inlineStr">
        <is>
          <t>2026-06-09T00:00:00+00:00</t>
        </is>
      </c>
      <c r="AA80" s="4" t="inlineStr">
        <is>
          <t>com.logistics.rider.hungerstation</t>
        </is>
      </c>
      <c r="AC80" s="4" t="n">
        <v>478</v>
      </c>
      <c r="AD80" s="4" t="inlineStr">
        <is>
          <t>2026-06-09</t>
        </is>
      </c>
      <c r="AE80" s="4" t="inlineStr">
        <is>
          <t>2026-06-09T00:00:00+00:00</t>
        </is>
      </c>
      <c r="AF80" s="4" t="inlineStr">
        <is>
          <t>com.logistics.rider.foodpanda</t>
        </is>
      </c>
    </row>
    <row r="81">
      <c r="T81" s="7" t="inlineStr">
        <is>
          <t>2026-06-16</t>
        </is>
      </c>
      <c r="U81" s="7" t="inlineStr">
        <is>
          <t>com.logistics.rider.foody</t>
        </is>
      </c>
      <c r="V81" s="7" t="n">
        <v>730</v>
      </c>
      <c r="X81" s="7" t="n">
        <v>27</v>
      </c>
      <c r="Y81" s="7" t="inlineStr">
        <is>
          <t>2026-06-09</t>
        </is>
      </c>
      <c r="Z81" s="7" t="inlineStr">
        <is>
          <t>2026-06-09T00:00:00+00:00</t>
        </is>
      </c>
      <c r="AA81" s="7" t="inlineStr">
        <is>
          <t>com.logistics.rider.pedidosya</t>
        </is>
      </c>
      <c r="AC81" s="7" t="n">
        <v>162</v>
      </c>
      <c r="AD81" s="7" t="inlineStr">
        <is>
          <t>2026-06-09</t>
        </is>
      </c>
      <c r="AE81" s="7" t="inlineStr">
        <is>
          <t>2026-06-09T00:00:00+00:00</t>
        </is>
      </c>
      <c r="AF81" s="7" t="inlineStr">
        <is>
          <t>com.logistics.rider.talabat</t>
        </is>
      </c>
    </row>
    <row r="82">
      <c r="T82" s="4" t="inlineStr">
        <is>
          <t>2026-06-01</t>
        </is>
      </c>
      <c r="U82" s="4" t="inlineStr">
        <is>
          <t>com.logistics.rider.glovo</t>
        </is>
      </c>
      <c r="V82" s="4" t="n">
        <v>47976</v>
      </c>
      <c r="X82" s="4" t="n">
        <v>85</v>
      </c>
      <c r="Y82" s="4" t="inlineStr">
        <is>
          <t>2026-06-09</t>
        </is>
      </c>
      <c r="Z82" s="4" t="inlineStr">
        <is>
          <t>2026-06-09T00:00:00+00:00</t>
        </is>
      </c>
      <c r="AA82" s="4" t="inlineStr">
        <is>
          <t>com.logistics.rider.glovo</t>
        </is>
      </c>
      <c r="AC82" s="4" t="n">
        <v>42</v>
      </c>
      <c r="AD82" s="4" t="inlineStr">
        <is>
          <t>2026-06-09</t>
        </is>
      </c>
      <c r="AE82" s="4" t="inlineStr">
        <is>
          <t>2026-06-09T00:00:00+00:00</t>
        </is>
      </c>
      <c r="AF82" s="4" t="inlineStr">
        <is>
          <t>com.logistics.rider.hungerstation</t>
        </is>
      </c>
    </row>
    <row r="83">
      <c r="T83" s="7" t="inlineStr">
        <is>
          <t>2026-06-02</t>
        </is>
      </c>
      <c r="U83" s="7" t="inlineStr">
        <is>
          <t>com.logistics.rider.glovo</t>
        </is>
      </c>
      <c r="V83" s="7" t="n">
        <v>47122</v>
      </c>
      <c r="X83" s="7" t="n">
        <v>65</v>
      </c>
      <c r="Y83" s="7" t="inlineStr">
        <is>
          <t>2026-06-10</t>
        </is>
      </c>
      <c r="Z83" s="7" t="inlineStr">
        <is>
          <t>2026-06-10T00:00:00+00:00</t>
        </is>
      </c>
      <c r="AA83" s="7" t="inlineStr">
        <is>
          <t>com.logistics.rider.talabat</t>
        </is>
      </c>
      <c r="AC83" s="7" t="n">
        <v>48</v>
      </c>
      <c r="AD83" s="7" t="inlineStr">
        <is>
          <t>2026-06-09</t>
        </is>
      </c>
      <c r="AE83" s="7" t="inlineStr">
        <is>
          <t>2026-06-09T00:00:00+00:00</t>
        </is>
      </c>
      <c r="AF83" s="7" t="inlineStr">
        <is>
          <t>com.logistics.rider.pedidosya</t>
        </is>
      </c>
    </row>
    <row r="84">
      <c r="T84" s="4" t="inlineStr">
        <is>
          <t>2026-06-03</t>
        </is>
      </c>
      <c r="U84" s="4" t="inlineStr">
        <is>
          <t>com.logistics.rider.glovo</t>
        </is>
      </c>
      <c r="V84" s="4" t="n">
        <v>47233</v>
      </c>
      <c r="X84" s="4" t="n">
        <v>19</v>
      </c>
      <c r="Y84" s="4" t="inlineStr">
        <is>
          <t>2026-06-10</t>
        </is>
      </c>
      <c r="Z84" s="4" t="inlineStr">
        <is>
          <t>2026-06-10T00:00:00+00:00</t>
        </is>
      </c>
      <c r="AA84" s="4" t="inlineStr">
        <is>
          <t>com.logistics.rider.hungerstation</t>
        </is>
      </c>
      <c r="AC84" s="4" t="n">
        <v>23</v>
      </c>
      <c r="AD84" s="4" t="inlineStr">
        <is>
          <t>2026-06-09</t>
        </is>
      </c>
      <c r="AE84" s="4" t="inlineStr">
        <is>
          <t>2026-06-09T00:00:00+00:00</t>
        </is>
      </c>
      <c r="AF84" s="4" t="inlineStr">
        <is>
          <t>com.logistics.rider.foodora</t>
        </is>
      </c>
    </row>
    <row r="85">
      <c r="T85" s="7" t="inlineStr">
        <is>
          <t>2026-06-04</t>
        </is>
      </c>
      <c r="U85" s="7" t="inlineStr">
        <is>
          <t>com.logistics.rider.glovo</t>
        </is>
      </c>
      <c r="V85" s="7" t="n">
        <v>48580</v>
      </c>
      <c r="X85" s="7" t="n">
        <v>126</v>
      </c>
      <c r="Y85" s="7" t="inlineStr">
        <is>
          <t>2026-06-10</t>
        </is>
      </c>
      <c r="Z85" s="7" t="inlineStr">
        <is>
          <t>2026-06-10T00:00:00+00:00</t>
        </is>
      </c>
      <c r="AA85" s="7" t="inlineStr">
        <is>
          <t>com.logistics.rider.foodpanda</t>
        </is>
      </c>
      <c r="AC85" s="7" t="n">
        <v>2</v>
      </c>
      <c r="AD85" s="7" t="inlineStr">
        <is>
          <t>2026-06-09</t>
        </is>
      </c>
      <c r="AE85" s="7" t="inlineStr">
        <is>
          <t>2026-06-09T00:00:00+00:00</t>
        </is>
      </c>
      <c r="AF85" s="7" t="inlineStr">
        <is>
          <t>com.logistics.rider.woowabros</t>
        </is>
      </c>
    </row>
    <row r="86">
      <c r="T86" s="4" t="inlineStr">
        <is>
          <t>2026-06-05</t>
        </is>
      </c>
      <c r="U86" s="4" t="inlineStr">
        <is>
          <t>com.logistics.rider.glovo</t>
        </is>
      </c>
      <c r="V86" s="4" t="n">
        <v>47383</v>
      </c>
      <c r="X86" s="4" t="n">
        <v>23</v>
      </c>
      <c r="Y86" s="4" t="inlineStr">
        <is>
          <t>2026-06-10</t>
        </is>
      </c>
      <c r="Z86" s="4" t="inlineStr">
        <is>
          <t>2026-06-10T00:00:00+00:00</t>
        </is>
      </c>
      <c r="AA86" s="4" t="inlineStr">
        <is>
          <t>com.logistics.rider.foodora</t>
        </is>
      </c>
      <c r="AC86" s="4" t="n">
        <v>1</v>
      </c>
      <c r="AD86" s="4" t="inlineStr">
        <is>
          <t>2026-06-10</t>
        </is>
      </c>
      <c r="AE86" s="4" t="inlineStr">
        <is>
          <t>2026-06-10T00:00:00+00:00</t>
        </is>
      </c>
      <c r="AF86" s="4" t="inlineStr">
        <is>
          <t>com.logistics.rider.woowabros</t>
        </is>
      </c>
    </row>
    <row r="87">
      <c r="T87" s="7" t="inlineStr">
        <is>
          <t>2026-06-06</t>
        </is>
      </c>
      <c r="U87" s="7" t="inlineStr">
        <is>
          <t>com.logistics.rider.glovo</t>
        </is>
      </c>
      <c r="V87" s="7" t="n">
        <v>46456</v>
      </c>
      <c r="X87" s="7" t="n">
        <v>2</v>
      </c>
      <c r="Y87" s="7" t="inlineStr">
        <is>
          <t>2026-06-10</t>
        </is>
      </c>
      <c r="Z87" s="7" t="inlineStr">
        <is>
          <t>2026-06-10T00:00:00+00:00</t>
        </is>
      </c>
      <c r="AA87" s="7" t="inlineStr">
        <is>
          <t>com.logistics.rider.foody</t>
        </is>
      </c>
      <c r="AC87" s="7" t="n">
        <v>7</v>
      </c>
      <c r="AD87" s="7" t="inlineStr">
        <is>
          <t>2026-06-10</t>
        </is>
      </c>
      <c r="AE87" s="7" t="inlineStr">
        <is>
          <t>2026-06-10T00:00:00+00:00</t>
        </is>
      </c>
      <c r="AF87" s="7" t="inlineStr">
        <is>
          <t>com.logistics.rider.efood</t>
        </is>
      </c>
    </row>
    <row r="88">
      <c r="T88" s="4" t="inlineStr">
        <is>
          <t>2026-06-07</t>
        </is>
      </c>
      <c r="U88" s="4" t="inlineStr">
        <is>
          <t>com.logistics.rider.glovo</t>
        </is>
      </c>
      <c r="V88" s="4" t="n">
        <v>46400</v>
      </c>
      <c r="X88" s="4" t="n">
        <v>28</v>
      </c>
      <c r="Y88" s="4" t="inlineStr">
        <is>
          <t>2026-06-10</t>
        </is>
      </c>
      <c r="Z88" s="4" t="inlineStr">
        <is>
          <t>2026-06-10T00:00:00+00:00</t>
        </is>
      </c>
      <c r="AA88" s="4" t="inlineStr">
        <is>
          <t>com.logistics.rider.pedidosya</t>
        </is>
      </c>
      <c r="AC88" s="4" t="n">
        <v>443</v>
      </c>
      <c r="AD88" s="4" t="inlineStr">
        <is>
          <t>2026-06-10</t>
        </is>
      </c>
      <c r="AE88" s="4" t="inlineStr">
        <is>
          <t>2026-06-10T00:00:00+00:00</t>
        </is>
      </c>
      <c r="AF88" s="4" t="inlineStr">
        <is>
          <t>com.logistics.rider.foodpanda</t>
        </is>
      </c>
    </row>
    <row r="89">
      <c r="T89" s="7" t="inlineStr">
        <is>
          <t>2026-06-08</t>
        </is>
      </c>
      <c r="U89" s="7" t="inlineStr">
        <is>
          <t>com.logistics.rider.glovo</t>
        </is>
      </c>
      <c r="V89" s="7" t="n">
        <v>47755</v>
      </c>
      <c r="X89" s="7" t="n">
        <v>91</v>
      </c>
      <c r="Y89" s="7" t="inlineStr">
        <is>
          <t>2026-06-10</t>
        </is>
      </c>
      <c r="Z89" s="7" t="inlineStr">
        <is>
          <t>2026-06-10T00:00:00+00:00</t>
        </is>
      </c>
      <c r="AA89" s="7" t="inlineStr">
        <is>
          <t>com.logistics.rider.glovo</t>
        </is>
      </c>
      <c r="AC89" s="7" t="n">
        <v>129</v>
      </c>
      <c r="AD89" s="7" t="inlineStr">
        <is>
          <t>2026-06-10</t>
        </is>
      </c>
      <c r="AE89" s="7" t="inlineStr">
        <is>
          <t>2026-06-10T00:00:00+00:00</t>
        </is>
      </c>
      <c r="AF89" s="7" t="inlineStr">
        <is>
          <t>com.logistics.rider.glovo</t>
        </is>
      </c>
    </row>
    <row r="90">
      <c r="T90" s="4" t="inlineStr">
        <is>
          <t>2026-06-09</t>
        </is>
      </c>
      <c r="U90" s="4" t="inlineStr">
        <is>
          <t>com.logistics.rider.glovo</t>
        </is>
      </c>
      <c r="V90" s="4" t="n">
        <v>47520</v>
      </c>
      <c r="X90" s="4" t="n">
        <v>76</v>
      </c>
      <c r="Y90" s="4" t="inlineStr">
        <is>
          <t>2026-06-10</t>
        </is>
      </c>
      <c r="Z90" s="4" t="inlineStr">
        <is>
          <t>2026-06-10T00:00:00+00:00</t>
        </is>
      </c>
      <c r="AA90" s="4" t="inlineStr"/>
      <c r="AC90" s="4" t="n">
        <v>2</v>
      </c>
      <c r="AD90" s="4" t="inlineStr">
        <is>
          <t>2026-06-10</t>
        </is>
      </c>
      <c r="AE90" s="4" t="inlineStr">
        <is>
          <t>2026-06-10T00:00:00+00:00</t>
        </is>
      </c>
      <c r="AF90" s="4" t="inlineStr">
        <is>
          <t>com.logistics.rider.foody</t>
        </is>
      </c>
    </row>
    <row r="91">
      <c r="T91" s="7" t="inlineStr">
        <is>
          <t>2026-06-10</t>
        </is>
      </c>
      <c r="U91" s="7" t="inlineStr">
        <is>
          <t>com.logistics.rider.glovo</t>
        </is>
      </c>
      <c r="V91" s="7" t="n">
        <v>47354</v>
      </c>
      <c r="X91" s="7" t="n">
        <v>21</v>
      </c>
      <c r="Y91" s="7" t="inlineStr">
        <is>
          <t>2026-06-10</t>
        </is>
      </c>
      <c r="Z91" s="7" t="inlineStr">
        <is>
          <t>2026-06-10T00:00:00+00:00</t>
        </is>
      </c>
      <c r="AA91" s="7" t="inlineStr">
        <is>
          <t>com.logistics.rider.efood</t>
        </is>
      </c>
      <c r="AC91" s="7" t="n">
        <v>150</v>
      </c>
      <c r="AD91" s="7" t="inlineStr">
        <is>
          <t>2026-06-10</t>
        </is>
      </c>
      <c r="AE91" s="7" t="inlineStr">
        <is>
          <t>2026-06-10T00:00:00+00:00</t>
        </is>
      </c>
      <c r="AF91" s="7" t="inlineStr">
        <is>
          <t>com.logistics.rider.talabat</t>
        </is>
      </c>
    </row>
    <row r="92">
      <c r="T92" s="4" t="inlineStr">
        <is>
          <t>2026-06-11</t>
        </is>
      </c>
      <c r="U92" s="4" t="inlineStr">
        <is>
          <t>com.logistics.rider.glovo</t>
        </is>
      </c>
      <c r="V92" s="4" t="n">
        <v>49015</v>
      </c>
      <c r="X92" s="4" t="n">
        <v>5</v>
      </c>
      <c r="Y92" s="4" t="inlineStr">
        <is>
          <t>2026-06-11</t>
        </is>
      </c>
      <c r="Z92" s="4" t="inlineStr">
        <is>
          <t>2026-06-11T00:00:00+00:00</t>
        </is>
      </c>
      <c r="AA92" s="4" t="inlineStr">
        <is>
          <t>com.logistics.rider.efood</t>
        </is>
      </c>
      <c r="AC92" s="4" t="n">
        <v>58</v>
      </c>
      <c r="AD92" s="4" t="inlineStr">
        <is>
          <t>2026-06-10</t>
        </is>
      </c>
      <c r="AE92" s="4" t="inlineStr">
        <is>
          <t>2026-06-10T00:00:00+00:00</t>
        </is>
      </c>
      <c r="AF92" s="4" t="inlineStr">
        <is>
          <t>com.logistics.rider.pedidosya</t>
        </is>
      </c>
    </row>
    <row r="93">
      <c r="T93" s="7" t="inlineStr">
        <is>
          <t>2026-06-12</t>
        </is>
      </c>
      <c r="U93" s="7" t="inlineStr">
        <is>
          <t>com.logistics.rider.glovo</t>
        </is>
      </c>
      <c r="V93" s="7" t="n">
        <v>48832</v>
      </c>
      <c r="X93" s="7" t="n">
        <v>73</v>
      </c>
      <c r="Y93" s="7" t="inlineStr">
        <is>
          <t>2026-06-11</t>
        </is>
      </c>
      <c r="Z93" s="7" t="inlineStr">
        <is>
          <t>2026-06-11T00:00:00+00:00</t>
        </is>
      </c>
      <c r="AA93" s="7" t="inlineStr">
        <is>
          <t>com.logistics.rider.glovo</t>
        </is>
      </c>
      <c r="AC93" s="7" t="n">
        <v>36</v>
      </c>
      <c r="AD93" s="7" t="inlineStr">
        <is>
          <t>2026-06-10</t>
        </is>
      </c>
      <c r="AE93" s="7" t="inlineStr">
        <is>
          <t>2026-06-10T00:00:00+00:00</t>
        </is>
      </c>
      <c r="AF93" s="7" t="inlineStr">
        <is>
          <t>com.logistics.rider.foodora</t>
        </is>
      </c>
    </row>
    <row r="94">
      <c r="T94" s="4" t="inlineStr">
        <is>
          <t>2026-06-13</t>
        </is>
      </c>
      <c r="U94" s="4" t="inlineStr">
        <is>
          <t>com.logistics.rider.glovo</t>
        </is>
      </c>
      <c r="V94" s="4" t="n">
        <v>46644</v>
      </c>
      <c r="X94" s="4" t="n">
        <v>15</v>
      </c>
      <c r="Y94" s="4" t="inlineStr">
        <is>
          <t>2026-06-11</t>
        </is>
      </c>
      <c r="Z94" s="4" t="inlineStr">
        <is>
          <t>2026-06-11T00:00:00+00:00</t>
        </is>
      </c>
      <c r="AA94" s="4" t="inlineStr">
        <is>
          <t>com.logistics.rider.hungerstation</t>
        </is>
      </c>
      <c r="AC94" s="4" t="n">
        <v>1</v>
      </c>
      <c r="AD94" s="4" t="inlineStr">
        <is>
          <t>2026-06-10</t>
        </is>
      </c>
      <c r="AE94" s="4" t="inlineStr">
        <is>
          <t>2026-06-10T00:00:00+00:00</t>
        </is>
      </c>
      <c r="AF94" s="4" t="inlineStr">
        <is>
          <t>com.logistics.rider.yemeksepeti</t>
        </is>
      </c>
    </row>
    <row r="95">
      <c r="T95" s="7" t="inlineStr">
        <is>
          <t>2026-06-14</t>
        </is>
      </c>
      <c r="U95" s="7" t="inlineStr">
        <is>
          <t>com.logistics.rider.glovo</t>
        </is>
      </c>
      <c r="V95" s="7" t="n">
        <v>46416</v>
      </c>
      <c r="X95" s="7" t="n">
        <v>41</v>
      </c>
      <c r="Y95" s="7" t="inlineStr">
        <is>
          <t>2026-06-11</t>
        </is>
      </c>
      <c r="Z95" s="7" t="inlineStr">
        <is>
          <t>2026-06-11T00:00:00+00:00</t>
        </is>
      </c>
      <c r="AA95" s="7" t="inlineStr"/>
      <c r="AC95" s="7" t="n">
        <v>36</v>
      </c>
      <c r="AD95" s="7" t="inlineStr">
        <is>
          <t>2026-06-10</t>
        </is>
      </c>
      <c r="AE95" s="7" t="inlineStr">
        <is>
          <t>2026-06-10T00:00:00+00:00</t>
        </is>
      </c>
      <c r="AF95" s="7" t="inlineStr">
        <is>
          <t>com.logistics.rider.hungerstation</t>
        </is>
      </c>
    </row>
    <row r="96">
      <c r="T96" s="4" t="inlineStr">
        <is>
          <t>2026-06-15</t>
        </is>
      </c>
      <c r="U96" s="4" t="inlineStr">
        <is>
          <t>com.logistics.rider.glovo</t>
        </is>
      </c>
      <c r="V96" s="4" t="n">
        <v>48419</v>
      </c>
      <c r="X96" s="4" t="n">
        <v>1</v>
      </c>
      <c r="Y96" s="4" t="inlineStr">
        <is>
          <t>2026-06-11</t>
        </is>
      </c>
      <c r="Z96" s="4" t="inlineStr">
        <is>
          <t>2026-06-11T00:00:00+00:00</t>
        </is>
      </c>
      <c r="AA96" s="4" t="inlineStr">
        <is>
          <t>com.logistics.rider.foody</t>
        </is>
      </c>
      <c r="AC96" s="4" t="n">
        <v>1</v>
      </c>
      <c r="AD96" s="4" t="inlineStr">
        <is>
          <t>2026-06-11</t>
        </is>
      </c>
      <c r="AE96" s="4" t="inlineStr">
        <is>
          <t>2026-06-11T00:00:00+00:00</t>
        </is>
      </c>
      <c r="AF96" s="4" t="inlineStr">
        <is>
          <t>com.logistics.rider.woowabros</t>
        </is>
      </c>
    </row>
    <row r="97">
      <c r="T97" s="7" t="inlineStr">
        <is>
          <t>2026-06-16</t>
        </is>
      </c>
      <c r="U97" s="7" t="inlineStr">
        <is>
          <t>com.logistics.rider.glovo</t>
        </is>
      </c>
      <c r="V97" s="7" t="n">
        <v>47500</v>
      </c>
      <c r="X97" s="7" t="n">
        <v>70</v>
      </c>
      <c r="Y97" s="7" t="inlineStr">
        <is>
          <t>2026-06-11</t>
        </is>
      </c>
      <c r="Z97" s="7" t="inlineStr">
        <is>
          <t>2026-06-11T00:00:00+00:00</t>
        </is>
      </c>
      <c r="AA97" s="7" t="inlineStr">
        <is>
          <t>com.logistics.rider.talabat</t>
        </is>
      </c>
      <c r="AC97" s="7" t="n">
        <v>52</v>
      </c>
      <c r="AD97" s="7" t="inlineStr">
        <is>
          <t>2026-06-11</t>
        </is>
      </c>
      <c r="AE97" s="7" t="inlineStr">
        <is>
          <t>2026-06-11T00:00:00+00:00</t>
        </is>
      </c>
      <c r="AF97" s="7" t="inlineStr">
        <is>
          <t>com.logistics.rider.pedidosya</t>
        </is>
      </c>
    </row>
    <row r="98">
      <c r="T98" s="4" t="inlineStr">
        <is>
          <t>2026-06-01</t>
        </is>
      </c>
      <c r="U98" s="4" t="inlineStr">
        <is>
          <t>com.logistics.rider.glovo.8PDW8D52VJ</t>
        </is>
      </c>
      <c r="V98" s="4" t="n">
        <v>1</v>
      </c>
      <c r="X98" s="4" t="n">
        <v>30</v>
      </c>
      <c r="Y98" s="4" t="inlineStr">
        <is>
          <t>2026-06-11</t>
        </is>
      </c>
      <c r="Z98" s="4" t="inlineStr">
        <is>
          <t>2026-06-11T00:00:00+00:00</t>
        </is>
      </c>
      <c r="AA98" s="4" t="inlineStr">
        <is>
          <t>com.logistics.rider.pedidosya</t>
        </is>
      </c>
      <c r="AC98" s="4" t="n">
        <v>8</v>
      </c>
      <c r="AD98" s="4" t="inlineStr">
        <is>
          <t>2026-06-11</t>
        </is>
      </c>
      <c r="AE98" s="4" t="inlineStr">
        <is>
          <t>2026-06-11T00:00:00+00:00</t>
        </is>
      </c>
      <c r="AF98" s="4" t="inlineStr">
        <is>
          <t>com.logistics.rider.efood</t>
        </is>
      </c>
    </row>
    <row r="99">
      <c r="T99" s="7" t="inlineStr">
        <is>
          <t>2026-06-02</t>
        </is>
      </c>
      <c r="U99" s="7" t="inlineStr">
        <is>
          <t>com.logistics.rider.glovo.8PDW8D52VJ</t>
        </is>
      </c>
      <c r="V99" s="7" t="n">
        <v>1</v>
      </c>
      <c r="X99" s="7" t="n">
        <v>12</v>
      </c>
      <c r="Y99" s="7" t="inlineStr">
        <is>
          <t>2026-06-11</t>
        </is>
      </c>
      <c r="Z99" s="7" t="inlineStr">
        <is>
          <t>2026-06-11T00:00:00+00:00</t>
        </is>
      </c>
      <c r="AA99" s="7" t="inlineStr">
        <is>
          <t>com.logistics.rider.foodora</t>
        </is>
      </c>
      <c r="AC99" s="7" t="n">
        <v>41</v>
      </c>
      <c r="AD99" s="7" t="inlineStr">
        <is>
          <t>2026-06-11</t>
        </is>
      </c>
      <c r="AE99" s="7" t="inlineStr">
        <is>
          <t>2026-06-11T00:00:00+00:00</t>
        </is>
      </c>
      <c r="AF99" s="7" t="inlineStr">
        <is>
          <t>com.logistics.rider.hungerstation</t>
        </is>
      </c>
    </row>
    <row r="100">
      <c r="T100" s="4" t="inlineStr">
        <is>
          <t>2026-06-04</t>
        </is>
      </c>
      <c r="U100" s="4" t="inlineStr">
        <is>
          <t>com.logistics.rider.glovo.8PDW8D52VJ</t>
        </is>
      </c>
      <c r="V100" s="4" t="n">
        <v>1</v>
      </c>
      <c r="X100" s="4" t="n">
        <v>99</v>
      </c>
      <c r="Y100" s="4" t="inlineStr">
        <is>
          <t>2026-06-11</t>
        </is>
      </c>
      <c r="Z100" s="4" t="inlineStr">
        <is>
          <t>2026-06-11T00:00:00+00:00</t>
        </is>
      </c>
      <c r="AA100" s="4" t="inlineStr">
        <is>
          <t>com.logistics.rider.foodpanda</t>
        </is>
      </c>
      <c r="AC100" s="4" t="n">
        <v>1</v>
      </c>
      <c r="AD100" s="4" t="inlineStr">
        <is>
          <t>2026-06-11</t>
        </is>
      </c>
      <c r="AE100" s="4" t="inlineStr">
        <is>
          <t>2026-06-11T00:00:00+00:00</t>
        </is>
      </c>
      <c r="AF100" s="4" t="inlineStr">
        <is>
          <t>com.logistics.rider.foody</t>
        </is>
      </c>
    </row>
    <row r="101">
      <c r="T101" s="7" t="inlineStr">
        <is>
          <t>2026-06-05</t>
        </is>
      </c>
      <c r="U101" s="7" t="inlineStr">
        <is>
          <t>com.logistics.rider.glovo.8PDW8D52VJ</t>
        </is>
      </c>
      <c r="V101" s="7" t="n">
        <v>1</v>
      </c>
      <c r="X101" s="7" t="n">
        <v>13</v>
      </c>
      <c r="Y101" s="7" t="inlineStr">
        <is>
          <t>2026-06-12</t>
        </is>
      </c>
      <c r="Z101" s="7" t="inlineStr">
        <is>
          <t>2026-06-12T00:00:00+00:00</t>
        </is>
      </c>
      <c r="AA101" s="7" t="inlineStr">
        <is>
          <t>com.logistics.rider.hungerstation</t>
        </is>
      </c>
      <c r="AC101" s="7" t="n">
        <v>324</v>
      </c>
      <c r="AD101" s="7" t="inlineStr">
        <is>
          <t>2026-06-11</t>
        </is>
      </c>
      <c r="AE101" s="7" t="inlineStr">
        <is>
          <t>2026-06-11T00:00:00+00:00</t>
        </is>
      </c>
      <c r="AF101" s="7" t="inlineStr">
        <is>
          <t>com.logistics.rider.foodpanda</t>
        </is>
      </c>
    </row>
    <row r="102">
      <c r="T102" s="4" t="inlineStr">
        <is>
          <t>2026-06-06</t>
        </is>
      </c>
      <c r="U102" s="4" t="inlineStr">
        <is>
          <t>com.logistics.rider.glovo.8PDW8D52VJ</t>
        </is>
      </c>
      <c r="V102" s="4" t="n">
        <v>1</v>
      </c>
      <c r="X102" s="4" t="n">
        <v>107</v>
      </c>
      <c r="Y102" s="4" t="inlineStr">
        <is>
          <t>2026-06-12</t>
        </is>
      </c>
      <c r="Z102" s="4" t="inlineStr">
        <is>
          <t>2026-06-12T00:00:00+00:00</t>
        </is>
      </c>
      <c r="AA102" s="4" t="inlineStr">
        <is>
          <t>com.logistics.rider.foodpanda</t>
        </is>
      </c>
      <c r="AC102" s="4" t="n">
        <v>25</v>
      </c>
      <c r="AD102" s="4" t="inlineStr">
        <is>
          <t>2026-06-11</t>
        </is>
      </c>
      <c r="AE102" s="4" t="inlineStr">
        <is>
          <t>2026-06-11T00:00:00+00:00</t>
        </is>
      </c>
      <c r="AF102" s="4" t="inlineStr">
        <is>
          <t>com.logistics.rider.foodora</t>
        </is>
      </c>
    </row>
    <row r="103">
      <c r="T103" s="7" t="inlineStr">
        <is>
          <t>2026-06-07</t>
        </is>
      </c>
      <c r="U103" s="7" t="inlineStr">
        <is>
          <t>com.logistics.rider.glovo.8PDW8D52VJ</t>
        </is>
      </c>
      <c r="V103" s="7" t="n">
        <v>1</v>
      </c>
      <c r="X103" s="7" t="n">
        <v>32</v>
      </c>
      <c r="Y103" s="7" t="inlineStr">
        <is>
          <t>2026-06-12</t>
        </is>
      </c>
      <c r="Z103" s="7" t="inlineStr">
        <is>
          <t>2026-06-12T00:00:00+00:00</t>
        </is>
      </c>
      <c r="AA103" s="7" t="inlineStr">
        <is>
          <t>com.logistics.rider.pedidosya</t>
        </is>
      </c>
      <c r="AC103" s="7" t="n">
        <v>41</v>
      </c>
      <c r="AD103" s="7" t="inlineStr">
        <is>
          <t>2026-06-11</t>
        </is>
      </c>
      <c r="AE103" s="7" t="inlineStr">
        <is>
          <t>2026-06-11T00:00:00+00:00</t>
        </is>
      </c>
      <c r="AF103" s="7" t="inlineStr">
        <is>
          <t>com.logistics.rider.hungerstation</t>
        </is>
      </c>
    </row>
    <row r="104">
      <c r="T104" s="4" t="inlineStr">
        <is>
          <t>2026-06-09</t>
        </is>
      </c>
      <c r="U104" s="4" t="inlineStr">
        <is>
          <t>com.logistics.rider.glovo.8PDW8D52VJ</t>
        </is>
      </c>
      <c r="V104" s="4" t="n">
        <v>1</v>
      </c>
      <c r="X104" s="4" t="n">
        <v>78</v>
      </c>
      <c r="Y104" s="4" t="inlineStr">
        <is>
          <t>2026-06-12</t>
        </is>
      </c>
      <c r="Z104" s="4" t="inlineStr">
        <is>
          <t>2026-06-12T00:00:00+00:00</t>
        </is>
      </c>
      <c r="AA104" s="4" t="inlineStr">
        <is>
          <t>com.logistics.rider.glovo</t>
        </is>
      </c>
      <c r="AC104" s="4" t="n">
        <v>8</v>
      </c>
      <c r="AD104" s="4" t="inlineStr">
        <is>
          <t>2026-06-11</t>
        </is>
      </c>
      <c r="AE104" s="4" t="inlineStr">
        <is>
          <t>2026-06-11T00:00:00+00:00</t>
        </is>
      </c>
      <c r="AF104" s="4" t="inlineStr">
        <is>
          <t>com.logistics.rider.efood</t>
        </is>
      </c>
    </row>
    <row r="105">
      <c r="T105" s="7" t="inlineStr">
        <is>
          <t>2026-06-10</t>
        </is>
      </c>
      <c r="U105" s="7" t="inlineStr">
        <is>
          <t>com.logistics.rider.glovo.8PDW8D52VJ</t>
        </is>
      </c>
      <c r="V105" s="7" t="n">
        <v>1</v>
      </c>
      <c r="X105" s="7" t="n">
        <v>13</v>
      </c>
      <c r="Y105" s="7" t="inlineStr">
        <is>
          <t>2026-06-12</t>
        </is>
      </c>
      <c r="Z105" s="7" t="inlineStr">
        <is>
          <t>2026-06-12T00:00:00+00:00</t>
        </is>
      </c>
      <c r="AA105" s="7" t="inlineStr">
        <is>
          <t>com.logistics.rider.foodora</t>
        </is>
      </c>
      <c r="AC105" s="7" t="n">
        <v>51</v>
      </c>
      <c r="AD105" s="7" t="inlineStr">
        <is>
          <t>2026-06-12</t>
        </is>
      </c>
      <c r="AE105" s="7" t="inlineStr">
        <is>
          <t>2026-06-12T00:00:00+00:00</t>
        </is>
      </c>
      <c r="AF105" s="7" t="inlineStr">
        <is>
          <t>com.logistics.rider.pedidosya</t>
        </is>
      </c>
    </row>
    <row r="106">
      <c r="T106" s="4" t="inlineStr">
        <is>
          <t>2026-06-11</t>
        </is>
      </c>
      <c r="U106" s="4" t="inlineStr">
        <is>
          <t>com.logistics.rider.glovo.8PDW8D52VJ</t>
        </is>
      </c>
      <c r="V106" s="4" t="n">
        <v>1</v>
      </c>
      <c r="X106" s="4" t="n">
        <v>43</v>
      </c>
      <c r="Y106" s="4" t="inlineStr">
        <is>
          <t>2026-06-12</t>
        </is>
      </c>
      <c r="Z106" s="4" t="inlineStr">
        <is>
          <t>2026-06-12T00:00:00+00:00</t>
        </is>
      </c>
      <c r="AA106" s="4" t="inlineStr"/>
      <c r="AC106" s="4" t="n">
        <v>26</v>
      </c>
      <c r="AD106" s="4" t="inlineStr">
        <is>
          <t>2026-06-12</t>
        </is>
      </c>
      <c r="AE106" s="4" t="inlineStr">
        <is>
          <t>2026-06-12T00:00:00+00:00</t>
        </is>
      </c>
      <c r="AF106" s="4" t="inlineStr">
        <is>
          <t>com.logistics.rider.foodora</t>
        </is>
      </c>
    </row>
    <row r="107">
      <c r="T107" s="7" t="inlineStr">
        <is>
          <t>2026-06-12</t>
        </is>
      </c>
      <c r="U107" s="7" t="inlineStr">
        <is>
          <t>com.logistics.rider.glovo.8PDW8D52VJ</t>
        </is>
      </c>
      <c r="V107" s="7" t="n">
        <v>1</v>
      </c>
      <c r="X107" s="7" t="n">
        <v>10</v>
      </c>
      <c r="Y107" s="7" t="inlineStr">
        <is>
          <t>2026-06-12</t>
        </is>
      </c>
      <c r="Z107" s="7" t="inlineStr">
        <is>
          <t>2026-06-12T00:00:00+00:00</t>
        </is>
      </c>
      <c r="AA107" s="7" t="inlineStr">
        <is>
          <t>com.logistics.rider.efood</t>
        </is>
      </c>
      <c r="AC107" s="7" t="n">
        <v>176</v>
      </c>
      <c r="AD107" s="7" t="inlineStr">
        <is>
          <t>2026-06-12</t>
        </is>
      </c>
      <c r="AE107" s="7" t="inlineStr">
        <is>
          <t>2026-06-12T00:00:00+00:00</t>
        </is>
      </c>
      <c r="AF107" s="7" t="inlineStr">
        <is>
          <t>com.logistics.rider.talabat</t>
        </is>
      </c>
    </row>
    <row r="108">
      <c r="T108" s="4" t="inlineStr">
        <is>
          <t>2026-06-13</t>
        </is>
      </c>
      <c r="U108" s="4" t="inlineStr">
        <is>
          <t>com.logistics.rider.glovo.8PDW8D52VJ</t>
        </is>
      </c>
      <c r="V108" s="4" t="n">
        <v>1</v>
      </c>
      <c r="X108" s="4" t="n">
        <v>1</v>
      </c>
      <c r="Y108" s="4" t="inlineStr">
        <is>
          <t>2026-06-12</t>
        </is>
      </c>
      <c r="Z108" s="4" t="inlineStr">
        <is>
          <t>2026-06-12T00:00:00+00:00</t>
        </is>
      </c>
      <c r="AA108" s="4" t="inlineStr">
        <is>
          <t>com.logistics.rider.foody</t>
        </is>
      </c>
      <c r="AC108" s="4" t="n">
        <v>8</v>
      </c>
      <c r="AD108" s="4" t="inlineStr">
        <is>
          <t>2026-06-12</t>
        </is>
      </c>
      <c r="AE108" s="4" t="inlineStr">
        <is>
          <t>2026-06-12T00:00:00+00:00</t>
        </is>
      </c>
      <c r="AF108" s="4" t="inlineStr">
        <is>
          <t>com.logistics.rider.efood</t>
        </is>
      </c>
    </row>
    <row r="109">
      <c r="T109" s="7" t="inlineStr">
        <is>
          <t>2026-06-14</t>
        </is>
      </c>
      <c r="U109" s="7" t="inlineStr">
        <is>
          <t>com.logistics.rider.glovo.8PDW8D52VJ</t>
        </is>
      </c>
      <c r="V109" s="7" t="n">
        <v>1</v>
      </c>
      <c r="X109" s="7" t="n">
        <v>56</v>
      </c>
      <c r="Y109" s="7" t="inlineStr">
        <is>
          <t>2026-06-12</t>
        </is>
      </c>
      <c r="Z109" s="7" t="inlineStr">
        <is>
          <t>2026-06-12T00:00:00+00:00</t>
        </is>
      </c>
      <c r="AA109" s="7" t="inlineStr">
        <is>
          <t>com.logistics.rider.talabat</t>
        </is>
      </c>
      <c r="AC109" s="7" t="n">
        <v>156</v>
      </c>
      <c r="AD109" s="7" t="inlineStr">
        <is>
          <t>2026-06-12</t>
        </is>
      </c>
      <c r="AE109" s="7" t="inlineStr">
        <is>
          <t>2026-06-12T00:00:00+00:00</t>
        </is>
      </c>
      <c r="AF109" s="7" t="inlineStr">
        <is>
          <t>com.logistics.rider.glovo</t>
        </is>
      </c>
    </row>
    <row r="110">
      <c r="T110" s="4" t="inlineStr">
        <is>
          <t>2026-06-15</t>
        </is>
      </c>
      <c r="U110" s="4" t="inlineStr">
        <is>
          <t>com.logistics.rider.glovo.8PDW8D52VJ</t>
        </is>
      </c>
      <c r="V110" s="4" t="n">
        <v>1</v>
      </c>
      <c r="X110" s="4" t="n">
        <v>9</v>
      </c>
      <c r="Y110" s="4" t="inlineStr">
        <is>
          <t>2026-06-13</t>
        </is>
      </c>
      <c r="Z110" s="4" t="inlineStr">
        <is>
          <t>2026-06-13T00:00:00+00:00</t>
        </is>
      </c>
      <c r="AA110" s="4" t="inlineStr">
        <is>
          <t>com.logistics.rider.efood</t>
        </is>
      </c>
      <c r="AC110" s="4" t="n">
        <v>327</v>
      </c>
      <c r="AD110" s="4" t="inlineStr">
        <is>
          <t>2026-06-12</t>
        </is>
      </c>
      <c r="AE110" s="4" t="inlineStr">
        <is>
          <t>2026-06-12T00:00:00+00:00</t>
        </is>
      </c>
      <c r="AF110" s="4" t="inlineStr">
        <is>
          <t>com.logistics.rider.foodpanda</t>
        </is>
      </c>
    </row>
    <row r="111">
      <c r="T111" s="7" t="inlineStr">
        <is>
          <t>2026-06-16</t>
        </is>
      </c>
      <c r="U111" s="7" t="inlineStr">
        <is>
          <t>com.logistics.rider.glovo.8PDW8D52VJ</t>
        </is>
      </c>
      <c r="V111" s="7" t="n">
        <v>1</v>
      </c>
      <c r="X111" s="7" t="n">
        <v>32</v>
      </c>
      <c r="Y111" s="7" t="inlineStr">
        <is>
          <t>2026-06-13</t>
        </is>
      </c>
      <c r="Z111" s="7" t="inlineStr">
        <is>
          <t>2026-06-13T00:00:00+00:00</t>
        </is>
      </c>
      <c r="AA111" s="7" t="inlineStr">
        <is>
          <t>com.logistics.rider.pedidosya</t>
        </is>
      </c>
      <c r="AC111" s="7" t="n">
        <v>40</v>
      </c>
      <c r="AD111" s="7" t="inlineStr">
        <is>
          <t>2026-06-12</t>
        </is>
      </c>
      <c r="AE111" s="7" t="inlineStr">
        <is>
          <t>2026-06-12T00:00:00+00:00</t>
        </is>
      </c>
      <c r="AF111" s="7" t="inlineStr">
        <is>
          <t>com.logistics.rider.hungerstation</t>
        </is>
      </c>
    </row>
    <row r="112">
      <c r="T112" s="4" t="inlineStr">
        <is>
          <t>2026-06-01</t>
        </is>
      </c>
      <c r="U112" s="4" t="inlineStr">
        <is>
          <t>com.logistics.rider.glovo.GAB3RR77LN</t>
        </is>
      </c>
      <c r="V112" s="4" t="n">
        <v>1</v>
      </c>
      <c r="X112" s="4" t="n">
        <v>26</v>
      </c>
      <c r="Y112" s="4" t="inlineStr">
        <is>
          <t>2026-06-13</t>
        </is>
      </c>
      <c r="Z112" s="4" t="inlineStr">
        <is>
          <t>2026-06-13T00:00:00+00:00</t>
        </is>
      </c>
      <c r="AA112" s="4" t="inlineStr"/>
      <c r="AC112" s="4" t="n">
        <v>1</v>
      </c>
      <c r="AD112" s="4" t="inlineStr">
        <is>
          <t>2026-06-12</t>
        </is>
      </c>
      <c r="AE112" s="4" t="inlineStr">
        <is>
          <t>2026-06-12T00:00:00+00:00</t>
        </is>
      </c>
      <c r="AF112" s="4" t="inlineStr">
        <is>
          <t>com.logistics.rider.woowabros</t>
        </is>
      </c>
    </row>
    <row r="113">
      <c r="T113" s="7" t="inlineStr">
        <is>
          <t>2026-06-02</t>
        </is>
      </c>
      <c r="U113" s="7" t="inlineStr">
        <is>
          <t>com.logistics.rider.glovo.GAB3RR77LN</t>
        </is>
      </c>
      <c r="V113" s="7" t="n">
        <v>1</v>
      </c>
      <c r="X113" s="7" t="n">
        <v>80</v>
      </c>
      <c r="Y113" s="7" t="inlineStr">
        <is>
          <t>2026-06-13</t>
        </is>
      </c>
      <c r="Z113" s="7" t="inlineStr">
        <is>
          <t>2026-06-13T00:00:00+00:00</t>
        </is>
      </c>
      <c r="AA113" s="7" t="inlineStr">
        <is>
          <t>com.logistics.rider.glovo</t>
        </is>
      </c>
      <c r="AC113" s="7" t="n">
        <v>1</v>
      </c>
      <c r="AD113" s="7" t="inlineStr">
        <is>
          <t>2026-06-12</t>
        </is>
      </c>
      <c r="AE113" s="7" t="inlineStr">
        <is>
          <t>2026-06-12T00:00:00+00:00</t>
        </is>
      </c>
      <c r="AF113" s="7" t="inlineStr">
        <is>
          <t>com.logistics.rider.debug</t>
        </is>
      </c>
    </row>
    <row r="114">
      <c r="T114" s="4" t="inlineStr">
        <is>
          <t>2026-06-03</t>
        </is>
      </c>
      <c r="U114" s="4" t="inlineStr">
        <is>
          <t>com.logistics.rider.glovo.GAB3RR77LN</t>
        </is>
      </c>
      <c r="V114" s="4" t="n">
        <v>1</v>
      </c>
      <c r="X114" s="4" t="n">
        <v>15</v>
      </c>
      <c r="Y114" s="4" t="inlineStr">
        <is>
          <t>2026-06-13</t>
        </is>
      </c>
      <c r="Z114" s="4" t="inlineStr">
        <is>
          <t>2026-06-13T00:00:00+00:00</t>
        </is>
      </c>
      <c r="AA114" s="4" t="inlineStr">
        <is>
          <t>com.logistics.rider.foodora</t>
        </is>
      </c>
      <c r="AC114" s="4" t="n">
        <v>2</v>
      </c>
      <c r="AD114" s="4" t="inlineStr">
        <is>
          <t>2026-06-12</t>
        </is>
      </c>
      <c r="AE114" s="4" t="inlineStr">
        <is>
          <t>2026-06-12T00:00:00+00:00</t>
        </is>
      </c>
      <c r="AF114" s="4" t="inlineStr">
        <is>
          <t>com.logistics.rider.foody</t>
        </is>
      </c>
    </row>
    <row r="115">
      <c r="T115" s="7" t="inlineStr">
        <is>
          <t>2026-06-04</t>
        </is>
      </c>
      <c r="U115" s="7" t="inlineStr">
        <is>
          <t>com.logistics.rider.glovo.GAB3RR77LN</t>
        </is>
      </c>
      <c r="V115" s="7" t="n">
        <v>1</v>
      </c>
      <c r="X115" s="7" t="n">
        <v>53</v>
      </c>
      <c r="Y115" s="7" t="inlineStr">
        <is>
          <t>2026-06-13</t>
        </is>
      </c>
      <c r="Z115" s="7" t="inlineStr">
        <is>
          <t>2026-06-13T00:00:00+00:00</t>
        </is>
      </c>
      <c r="AA115" s="7" t="inlineStr">
        <is>
          <t>com.logistics.rider.talabat</t>
        </is>
      </c>
      <c r="AC115" s="7" t="n">
        <v>172</v>
      </c>
      <c r="AD115" s="7" t="inlineStr">
        <is>
          <t>2026-06-13</t>
        </is>
      </c>
      <c r="AE115" s="7" t="inlineStr">
        <is>
          <t>2026-06-13T00:00:00+00:00</t>
        </is>
      </c>
      <c r="AF115" s="7" t="inlineStr">
        <is>
          <t>com.logistics.rider.talabat</t>
        </is>
      </c>
    </row>
    <row r="116">
      <c r="T116" s="4" t="inlineStr">
        <is>
          <t>2026-06-05</t>
        </is>
      </c>
      <c r="U116" s="4" t="inlineStr">
        <is>
          <t>com.logistics.rider.glovo.GAB3RR77LN</t>
        </is>
      </c>
      <c r="V116" s="4" t="n">
        <v>1</v>
      </c>
      <c r="X116" s="4" t="n">
        <v>14</v>
      </c>
      <c r="Y116" s="4" t="inlineStr">
        <is>
          <t>2026-06-13</t>
        </is>
      </c>
      <c r="Z116" s="4" t="inlineStr">
        <is>
          <t>2026-06-13T00:00:00+00:00</t>
        </is>
      </c>
      <c r="AA116" s="4" t="inlineStr">
        <is>
          <t>com.logistics.rider.hungerstation</t>
        </is>
      </c>
      <c r="AC116" s="4" t="n">
        <v>25</v>
      </c>
      <c r="AD116" s="4" t="inlineStr">
        <is>
          <t>2026-06-13</t>
        </is>
      </c>
      <c r="AE116" s="4" t="inlineStr">
        <is>
          <t>2026-06-13T00:00:00+00:00</t>
        </is>
      </c>
      <c r="AF116" s="4" t="inlineStr">
        <is>
          <t>com.logistics.rider.foodora</t>
        </is>
      </c>
    </row>
    <row r="117">
      <c r="T117" s="7" t="inlineStr">
        <is>
          <t>2026-06-06</t>
        </is>
      </c>
      <c r="U117" s="7" t="inlineStr">
        <is>
          <t>com.logistics.rider.glovo.GAB3RR77LN</t>
        </is>
      </c>
      <c r="V117" s="7" t="n">
        <v>1</v>
      </c>
      <c r="X117" s="7" t="n">
        <v>4</v>
      </c>
      <c r="Y117" s="7" t="inlineStr">
        <is>
          <t>2026-06-13</t>
        </is>
      </c>
      <c r="Z117" s="7" t="inlineStr">
        <is>
          <t>2026-06-13T00:00:00+00:00</t>
        </is>
      </c>
      <c r="AA117" s="7" t="inlineStr">
        <is>
          <t>com.logistics.rider.foody</t>
        </is>
      </c>
      <c r="AC117" s="7" t="n">
        <v>31</v>
      </c>
      <c r="AD117" s="7" t="inlineStr">
        <is>
          <t>2026-06-13</t>
        </is>
      </c>
      <c r="AE117" s="7" t="inlineStr">
        <is>
          <t>2026-06-13T00:00:00+00:00</t>
        </is>
      </c>
      <c r="AF117" s="7" t="inlineStr">
        <is>
          <t>com.logistics.rider.hungerstation</t>
        </is>
      </c>
    </row>
    <row r="118">
      <c r="T118" s="4" t="inlineStr">
        <is>
          <t>2026-06-07</t>
        </is>
      </c>
      <c r="U118" s="4" t="inlineStr">
        <is>
          <t>com.logistics.rider.glovo.GAB3RR77LN</t>
        </is>
      </c>
      <c r="V118" s="4" t="n">
        <v>1</v>
      </c>
      <c r="X118" s="4" t="n">
        <v>114</v>
      </c>
      <c r="Y118" s="4" t="inlineStr">
        <is>
          <t>2026-06-13</t>
        </is>
      </c>
      <c r="Z118" s="4" t="inlineStr">
        <is>
          <t>2026-06-13T00:00:00+00:00</t>
        </is>
      </c>
      <c r="AA118" s="4" t="inlineStr">
        <is>
          <t>com.logistics.rider.foodpanda</t>
        </is>
      </c>
      <c r="AC118" s="4" t="n">
        <v>1</v>
      </c>
      <c r="AD118" s="4" t="inlineStr">
        <is>
          <t>2026-06-13</t>
        </is>
      </c>
      <c r="AE118" s="4" t="inlineStr">
        <is>
          <t>2026-06-13T00:00:00+00:00</t>
        </is>
      </c>
      <c r="AF118" s="4" t="inlineStr">
        <is>
          <t>com.logistics.rider.foody</t>
        </is>
      </c>
    </row>
    <row r="119">
      <c r="T119" s="7" t="inlineStr">
        <is>
          <t>2026-06-08</t>
        </is>
      </c>
      <c r="U119" s="7" t="inlineStr">
        <is>
          <t>com.logistics.rider.glovo.GAB3RR77LN</t>
        </is>
      </c>
      <c r="V119" s="7" t="n">
        <v>1</v>
      </c>
      <c r="X119" s="7" t="n">
        <v>1</v>
      </c>
      <c r="Y119" s="7" t="inlineStr">
        <is>
          <t>2026-06-13</t>
        </is>
      </c>
      <c r="Z119" s="7" t="inlineStr">
        <is>
          <t>2026-06-13T00:00:00+00:00</t>
        </is>
      </c>
      <c r="AA119" s="7" t="inlineStr">
        <is>
          <t>com.logistics.rider.woowabros</t>
        </is>
      </c>
      <c r="AC119" s="7" t="n">
        <v>140</v>
      </c>
      <c r="AD119" s="7" t="inlineStr">
        <is>
          <t>2026-06-13</t>
        </is>
      </c>
      <c r="AE119" s="7" t="inlineStr">
        <is>
          <t>2026-06-13T00:00:00+00:00</t>
        </is>
      </c>
      <c r="AF119" s="7" t="inlineStr">
        <is>
          <t>com.logistics.rider.glovo</t>
        </is>
      </c>
    </row>
    <row r="120">
      <c r="T120" s="4" t="inlineStr">
        <is>
          <t>2026-06-09</t>
        </is>
      </c>
      <c r="U120" s="4" t="inlineStr">
        <is>
          <t>com.logistics.rider.glovo.GAB3RR77LN</t>
        </is>
      </c>
      <c r="V120" s="4" t="n">
        <v>1</v>
      </c>
      <c r="X120" s="4" t="n">
        <v>10</v>
      </c>
      <c r="Y120" s="4" t="inlineStr">
        <is>
          <t>2026-06-14</t>
        </is>
      </c>
      <c r="Z120" s="4" t="inlineStr">
        <is>
          <t>2026-06-14T00:00:00+00:00</t>
        </is>
      </c>
      <c r="AA120" s="4" t="inlineStr">
        <is>
          <t>com.logistics.rider.foodora</t>
        </is>
      </c>
      <c r="AC120" s="4" t="n">
        <v>319</v>
      </c>
      <c r="AD120" s="4" t="inlineStr">
        <is>
          <t>2026-06-13</t>
        </is>
      </c>
      <c r="AE120" s="4" t="inlineStr">
        <is>
          <t>2026-06-13T00:00:00+00:00</t>
        </is>
      </c>
      <c r="AF120" s="4" t="inlineStr">
        <is>
          <t>com.logistics.rider.foodpanda</t>
        </is>
      </c>
    </row>
    <row r="121">
      <c r="T121" s="7" t="inlineStr">
        <is>
          <t>2026-06-10</t>
        </is>
      </c>
      <c r="U121" s="7" t="inlineStr">
        <is>
          <t>com.logistics.rider.glovo.GAB3RR77LN</t>
        </is>
      </c>
      <c r="V121" s="7" t="n">
        <v>1</v>
      </c>
      <c r="X121" s="7" t="n">
        <v>97</v>
      </c>
      <c r="Y121" s="7" t="inlineStr">
        <is>
          <t>2026-06-14</t>
        </is>
      </c>
      <c r="Z121" s="7" t="inlineStr">
        <is>
          <t>2026-06-14T00:00:00+00:00</t>
        </is>
      </c>
      <c r="AA121" s="7" t="inlineStr">
        <is>
          <t>com.logistics.rider.foodpanda</t>
        </is>
      </c>
      <c r="AC121" s="7" t="n">
        <v>2</v>
      </c>
      <c r="AD121" s="7" t="inlineStr">
        <is>
          <t>2026-06-13</t>
        </is>
      </c>
      <c r="AE121" s="7" t="inlineStr">
        <is>
          <t>2026-06-13T00:00:00+00:00</t>
        </is>
      </c>
      <c r="AF121" s="7" t="inlineStr">
        <is>
          <t>com.logistics.rider.efood</t>
        </is>
      </c>
    </row>
    <row r="122">
      <c r="T122" s="4" t="inlineStr">
        <is>
          <t>2026-06-11</t>
        </is>
      </c>
      <c r="U122" s="4" t="inlineStr">
        <is>
          <t>com.logistics.rider.glovo.GAB3RR77LN</t>
        </is>
      </c>
      <c r="V122" s="4" t="n">
        <v>1</v>
      </c>
      <c r="X122" s="4" t="n">
        <v>18</v>
      </c>
      <c r="Y122" s="4" t="inlineStr">
        <is>
          <t>2026-06-14</t>
        </is>
      </c>
      <c r="Z122" s="4" t="inlineStr">
        <is>
          <t>2026-06-14T00:00:00+00:00</t>
        </is>
      </c>
      <c r="AA122" s="4" t="inlineStr">
        <is>
          <t>com.logistics.rider.hungerstation</t>
        </is>
      </c>
      <c r="AC122" s="4" t="n">
        <v>51</v>
      </c>
      <c r="AD122" s="4" t="inlineStr">
        <is>
          <t>2026-06-13</t>
        </is>
      </c>
      <c r="AE122" s="4" t="inlineStr">
        <is>
          <t>2026-06-13T00:00:00+00:00</t>
        </is>
      </c>
      <c r="AF122" s="4" t="inlineStr">
        <is>
          <t>com.logistics.rider.pedidosya</t>
        </is>
      </c>
    </row>
    <row r="123">
      <c r="T123" s="7" t="inlineStr">
        <is>
          <t>2026-06-12</t>
        </is>
      </c>
      <c r="U123" s="7" t="inlineStr">
        <is>
          <t>com.logistics.rider.glovo.GAB3RR77LN</t>
        </is>
      </c>
      <c r="V123" s="7" t="n">
        <v>1</v>
      </c>
      <c r="X123" s="7" t="n">
        <v>52</v>
      </c>
      <c r="Y123" s="7" t="inlineStr">
        <is>
          <t>2026-06-14</t>
        </is>
      </c>
      <c r="Z123" s="7" t="inlineStr">
        <is>
          <t>2026-06-14T00:00:00+00:00</t>
        </is>
      </c>
      <c r="AA123" s="7" t="inlineStr">
        <is>
          <t>com.logistics.rider.talabat</t>
        </is>
      </c>
      <c r="AC123" s="7" t="n">
        <v>3</v>
      </c>
      <c r="AD123" s="7" t="inlineStr">
        <is>
          <t>2026-06-13</t>
        </is>
      </c>
      <c r="AE123" s="7" t="inlineStr">
        <is>
          <t>2026-06-13T00:00:00+00:00</t>
        </is>
      </c>
      <c r="AF123" s="7" t="inlineStr">
        <is>
          <t>com.logistics.rider.woowabros</t>
        </is>
      </c>
    </row>
    <row r="124">
      <c r="T124" s="4" t="inlineStr">
        <is>
          <t>2026-06-13</t>
        </is>
      </c>
      <c r="U124" s="4" t="inlineStr">
        <is>
          <t>com.logistics.rider.glovo.GAB3RR77LN</t>
        </is>
      </c>
      <c r="V124" s="4" t="n">
        <v>1</v>
      </c>
      <c r="X124" s="4" t="n">
        <v>64</v>
      </c>
      <c r="Y124" s="4" t="inlineStr">
        <is>
          <t>2026-06-14</t>
        </is>
      </c>
      <c r="Z124" s="4" t="inlineStr">
        <is>
          <t>2026-06-14T00:00:00+00:00</t>
        </is>
      </c>
      <c r="AA124" s="4" t="inlineStr">
        <is>
          <t>com.logistics.rider.glovo</t>
        </is>
      </c>
      <c r="AC124" s="4" t="n">
        <v>1</v>
      </c>
      <c r="AD124" s="4" t="inlineStr">
        <is>
          <t>2026-06-14</t>
        </is>
      </c>
      <c r="AE124" s="4" t="inlineStr">
        <is>
          <t>2026-06-14T00:00:00+00:00</t>
        </is>
      </c>
      <c r="AF124" s="4" t="inlineStr">
        <is>
          <t>com.logistics.rider.foody</t>
        </is>
      </c>
    </row>
    <row r="125">
      <c r="T125" s="7" t="inlineStr">
        <is>
          <t>2026-06-14</t>
        </is>
      </c>
      <c r="U125" s="7" t="inlineStr">
        <is>
          <t>com.logistics.rider.glovo.GAB3RR77LN</t>
        </is>
      </c>
      <c r="V125" s="7" t="n">
        <v>1</v>
      </c>
      <c r="X125" s="7" t="n">
        <v>27</v>
      </c>
      <c r="Y125" s="7" t="inlineStr">
        <is>
          <t>2026-06-14</t>
        </is>
      </c>
      <c r="Z125" s="7" t="inlineStr">
        <is>
          <t>2026-06-14T00:00:00+00:00</t>
        </is>
      </c>
      <c r="AA125" s="7" t="inlineStr"/>
      <c r="AC125" s="7" t="n">
        <v>158</v>
      </c>
      <c r="AD125" s="7" t="inlineStr">
        <is>
          <t>2026-06-14</t>
        </is>
      </c>
      <c r="AE125" s="7" t="inlineStr">
        <is>
          <t>2026-06-14T00:00:00+00:00</t>
        </is>
      </c>
      <c r="AF125" s="7" t="inlineStr">
        <is>
          <t>com.logistics.rider.talabat</t>
        </is>
      </c>
    </row>
    <row r="126">
      <c r="T126" s="4" t="inlineStr">
        <is>
          <t>2026-06-15</t>
        </is>
      </c>
      <c r="U126" s="4" t="inlineStr">
        <is>
          <t>com.logistics.rider.glovo.GAB3RR77LN</t>
        </is>
      </c>
      <c r="V126" s="4" t="n">
        <v>1</v>
      </c>
      <c r="X126" s="4" t="n">
        <v>7</v>
      </c>
      <c r="Y126" s="4" t="inlineStr">
        <is>
          <t>2026-06-14</t>
        </is>
      </c>
      <c r="Z126" s="4" t="inlineStr">
        <is>
          <t>2026-06-14T00:00:00+00:00</t>
        </is>
      </c>
      <c r="AA126" s="4" t="inlineStr">
        <is>
          <t>com.logistics.rider.efood</t>
        </is>
      </c>
      <c r="AC126" s="4" t="n">
        <v>20</v>
      </c>
      <c r="AD126" s="4" t="inlineStr">
        <is>
          <t>2026-06-14</t>
        </is>
      </c>
      <c r="AE126" s="4" t="inlineStr">
        <is>
          <t>2026-06-14T00:00:00+00:00</t>
        </is>
      </c>
      <c r="AF126" s="4" t="inlineStr">
        <is>
          <t>com.logistics.rider.foodora</t>
        </is>
      </c>
    </row>
    <row r="127">
      <c r="T127" s="7" t="inlineStr">
        <is>
          <t>2026-06-16</t>
        </is>
      </c>
      <c r="U127" s="7" t="inlineStr">
        <is>
          <t>com.logistics.rider.glovo.GAB3RR77LN</t>
        </is>
      </c>
      <c r="V127" s="7" t="n">
        <v>1</v>
      </c>
      <c r="X127" s="7" t="n">
        <v>37</v>
      </c>
      <c r="Y127" s="7" t="inlineStr">
        <is>
          <t>2026-06-14</t>
        </is>
      </c>
      <c r="Z127" s="7" t="inlineStr">
        <is>
          <t>2026-06-14T00:00:00+00:00</t>
        </is>
      </c>
      <c r="AA127" s="7" t="inlineStr">
        <is>
          <t>com.logistics.rider.pedidosya</t>
        </is>
      </c>
      <c r="AC127" s="7" t="n">
        <v>141</v>
      </c>
      <c r="AD127" s="7" t="inlineStr">
        <is>
          <t>2026-06-14</t>
        </is>
      </c>
      <c r="AE127" s="7" t="inlineStr">
        <is>
          <t>2026-06-14T00:00:00+00:00</t>
        </is>
      </c>
      <c r="AF127" s="7" t="inlineStr">
        <is>
          <t>com.logistics.rider.glovo</t>
        </is>
      </c>
    </row>
    <row r="128">
      <c r="T128" s="4" t="inlineStr">
        <is>
          <t>2026-06-01</t>
        </is>
      </c>
      <c r="U128" s="4" t="inlineStr">
        <is>
          <t>com.logistics.rider.hungerstation</t>
        </is>
      </c>
      <c r="V128" s="4" t="n">
        <v>9927</v>
      </c>
      <c r="X128" s="4" t="n">
        <v>65</v>
      </c>
      <c r="Y128" s="4" t="inlineStr">
        <is>
          <t>2026-06-15</t>
        </is>
      </c>
      <c r="Z128" s="4" t="inlineStr">
        <is>
          <t>2026-06-15T00:00:00+00:00</t>
        </is>
      </c>
      <c r="AA128" s="4" t="inlineStr">
        <is>
          <t>com.logistics.rider.talabat</t>
        </is>
      </c>
      <c r="AC128" s="4" t="n">
        <v>54</v>
      </c>
      <c r="AD128" s="4" t="inlineStr">
        <is>
          <t>2026-06-14</t>
        </is>
      </c>
      <c r="AE128" s="4" t="inlineStr">
        <is>
          <t>2026-06-14T00:00:00+00:00</t>
        </is>
      </c>
      <c r="AF128" s="4" t="inlineStr">
        <is>
          <t>com.logistics.rider.pedidosya</t>
        </is>
      </c>
    </row>
    <row r="129">
      <c r="T129" s="7" t="inlineStr">
        <is>
          <t>2026-06-02</t>
        </is>
      </c>
      <c r="U129" s="7" t="inlineStr">
        <is>
          <t>com.logistics.rider.hungerstation</t>
        </is>
      </c>
      <c r="V129" s="7" t="n">
        <v>9839</v>
      </c>
      <c r="X129" s="7" t="n">
        <v>14</v>
      </c>
      <c r="Y129" s="7" t="inlineStr">
        <is>
          <t>2026-06-15</t>
        </is>
      </c>
      <c r="Z129" s="7" t="inlineStr">
        <is>
          <t>2026-06-15T00:00:00+00:00</t>
        </is>
      </c>
      <c r="AA129" s="7" t="inlineStr">
        <is>
          <t>com.logistics.rider.foodora</t>
        </is>
      </c>
      <c r="AC129" s="7" t="n">
        <v>30</v>
      </c>
      <c r="AD129" s="7" t="inlineStr">
        <is>
          <t>2026-06-14</t>
        </is>
      </c>
      <c r="AE129" s="7" t="inlineStr">
        <is>
          <t>2026-06-14T00:00:00+00:00</t>
        </is>
      </c>
      <c r="AF129" s="7" t="inlineStr">
        <is>
          <t>com.logistics.rider.hungerstation</t>
        </is>
      </c>
    </row>
    <row r="130">
      <c r="T130" s="4" t="inlineStr">
        <is>
          <t>2026-06-03</t>
        </is>
      </c>
      <c r="U130" s="4" t="inlineStr">
        <is>
          <t>com.logistics.rider.hungerstation</t>
        </is>
      </c>
      <c r="V130" s="4" t="n">
        <v>9918</v>
      </c>
      <c r="X130" s="4" t="n">
        <v>1</v>
      </c>
      <c r="Y130" s="4" t="inlineStr">
        <is>
          <t>2026-06-15</t>
        </is>
      </c>
      <c r="Z130" s="4" t="inlineStr">
        <is>
          <t>2026-06-15T00:00:00+00:00</t>
        </is>
      </c>
      <c r="AA130" s="4" t="inlineStr">
        <is>
          <t>com.logistics.rider.woowabros</t>
        </is>
      </c>
      <c r="AC130" s="4" t="n">
        <v>2</v>
      </c>
      <c r="AD130" s="4" t="inlineStr">
        <is>
          <t>2026-06-14</t>
        </is>
      </c>
      <c r="AE130" s="4" t="inlineStr">
        <is>
          <t>2026-06-14T00:00:00+00:00</t>
        </is>
      </c>
      <c r="AF130" s="4" t="inlineStr">
        <is>
          <t>com.logistics.rider.woowabros</t>
        </is>
      </c>
    </row>
    <row r="131">
      <c r="T131" s="7" t="inlineStr">
        <is>
          <t>2026-06-04</t>
        </is>
      </c>
      <c r="U131" s="7" t="inlineStr">
        <is>
          <t>com.logistics.rider.hungerstation</t>
        </is>
      </c>
      <c r="V131" s="7" t="n">
        <v>10435</v>
      </c>
      <c r="X131" s="7" t="n">
        <v>66</v>
      </c>
      <c r="Y131" s="7" t="inlineStr">
        <is>
          <t>2026-06-15</t>
        </is>
      </c>
      <c r="Z131" s="7" t="inlineStr">
        <is>
          <t>2026-06-15T00:00:00+00:00</t>
        </is>
      </c>
      <c r="AA131" s="7" t="inlineStr">
        <is>
          <t>com.logistics.rider.glovo</t>
        </is>
      </c>
      <c r="AC131" s="7" t="n">
        <v>6</v>
      </c>
      <c r="AD131" s="7" t="inlineStr">
        <is>
          <t>2026-06-14</t>
        </is>
      </c>
      <c r="AE131" s="7" t="inlineStr">
        <is>
          <t>2026-06-14T00:00:00+00:00</t>
        </is>
      </c>
      <c r="AF131" s="7" t="inlineStr">
        <is>
          <t>com.logistics.rider.efood</t>
        </is>
      </c>
    </row>
    <row r="132">
      <c r="T132" s="4" t="inlineStr">
        <is>
          <t>2026-06-05</t>
        </is>
      </c>
      <c r="U132" s="4" t="inlineStr">
        <is>
          <t>com.logistics.rider.hungerstation</t>
        </is>
      </c>
      <c r="V132" s="4" t="n">
        <v>10050</v>
      </c>
      <c r="X132" s="4" t="n">
        <v>9</v>
      </c>
      <c r="Y132" s="4" t="inlineStr">
        <is>
          <t>2026-06-15</t>
        </is>
      </c>
      <c r="Z132" s="4" t="inlineStr">
        <is>
          <t>2026-06-15T00:00:00+00:00</t>
        </is>
      </c>
      <c r="AA132" s="4" t="inlineStr">
        <is>
          <t>com.logistics.rider.efood</t>
        </is>
      </c>
      <c r="AC132" s="4" t="n">
        <v>332</v>
      </c>
      <c r="AD132" s="4" t="inlineStr">
        <is>
          <t>2026-06-14</t>
        </is>
      </c>
      <c r="AE132" s="4" t="inlineStr">
        <is>
          <t>2026-06-14T00:00:00+00:00</t>
        </is>
      </c>
      <c r="AF132" s="4" t="inlineStr">
        <is>
          <t>com.logistics.rider.foodpanda</t>
        </is>
      </c>
    </row>
    <row r="133">
      <c r="T133" s="7" t="inlineStr">
        <is>
          <t>2026-06-06</t>
        </is>
      </c>
      <c r="U133" s="7" t="inlineStr">
        <is>
          <t>com.logistics.rider.hungerstation</t>
        </is>
      </c>
      <c r="V133" s="7" t="n">
        <v>9768</v>
      </c>
      <c r="X133" s="7" t="n">
        <v>106</v>
      </c>
      <c r="Y133" s="7" t="inlineStr">
        <is>
          <t>2026-06-15</t>
        </is>
      </c>
      <c r="Z133" s="7" t="inlineStr">
        <is>
          <t>2026-06-15T00:00:00+00:00</t>
        </is>
      </c>
      <c r="AA133" s="7" t="inlineStr">
        <is>
          <t>com.logistics.rider.foodpanda</t>
        </is>
      </c>
      <c r="AC133" s="7" t="n">
        <v>146</v>
      </c>
      <c r="AD133" s="7" t="inlineStr">
        <is>
          <t>2026-06-15</t>
        </is>
      </c>
      <c r="AE133" s="7" t="inlineStr">
        <is>
          <t>2026-06-15T00:00:00+00:00</t>
        </is>
      </c>
      <c r="AF133" s="7" t="inlineStr">
        <is>
          <t>com.logistics.rider.glovo</t>
        </is>
      </c>
    </row>
    <row r="134">
      <c r="T134" s="4" t="inlineStr">
        <is>
          <t>2026-06-07</t>
        </is>
      </c>
      <c r="U134" s="4" t="inlineStr">
        <is>
          <t>com.logistics.rider.hungerstation</t>
        </is>
      </c>
      <c r="V134" s="4" t="n">
        <v>9920</v>
      </c>
      <c r="X134" s="4" t="n">
        <v>21</v>
      </c>
      <c r="Y134" s="4" t="inlineStr">
        <is>
          <t>2026-06-15</t>
        </is>
      </c>
      <c r="Z134" s="4" t="inlineStr">
        <is>
          <t>2026-06-15T00:00:00+00:00</t>
        </is>
      </c>
      <c r="AA134" s="4" t="inlineStr"/>
      <c r="AC134" s="4" t="n">
        <v>3</v>
      </c>
      <c r="AD134" s="4" t="inlineStr">
        <is>
          <t>2026-06-15</t>
        </is>
      </c>
      <c r="AE134" s="4" t="inlineStr">
        <is>
          <t>2026-06-15T00:00:00+00:00</t>
        </is>
      </c>
      <c r="AF134" s="4" t="inlineStr">
        <is>
          <t>com.logistics.rider.woowabros</t>
        </is>
      </c>
    </row>
    <row r="135">
      <c r="T135" s="7" t="inlineStr">
        <is>
          <t>2026-06-08</t>
        </is>
      </c>
      <c r="U135" s="7" t="inlineStr">
        <is>
          <t>com.logistics.rider.hungerstation</t>
        </is>
      </c>
      <c r="V135" s="7" t="n">
        <v>10435</v>
      </c>
      <c r="X135" s="7" t="n">
        <v>14</v>
      </c>
      <c r="Y135" s="7" t="inlineStr">
        <is>
          <t>2026-06-15</t>
        </is>
      </c>
      <c r="Z135" s="7" t="inlineStr">
        <is>
          <t>2026-06-15T00:00:00+00:00</t>
        </is>
      </c>
      <c r="AA135" s="7" t="inlineStr">
        <is>
          <t>com.logistics.rider.hungerstation</t>
        </is>
      </c>
      <c r="AC135" s="7" t="n">
        <v>323</v>
      </c>
      <c r="AD135" s="7" t="inlineStr">
        <is>
          <t>2026-06-15</t>
        </is>
      </c>
      <c r="AE135" s="7" t="inlineStr">
        <is>
          <t>2026-06-15T00:00:00+00:00</t>
        </is>
      </c>
      <c r="AF135" s="7" t="inlineStr">
        <is>
          <t>com.logistics.rider.foodpanda</t>
        </is>
      </c>
    </row>
    <row r="136">
      <c r="T136" s="4" t="inlineStr">
        <is>
          <t>2026-06-09</t>
        </is>
      </c>
      <c r="U136" s="4" t="inlineStr">
        <is>
          <t>com.logistics.rider.hungerstation</t>
        </is>
      </c>
      <c r="V136" s="4" t="n">
        <v>10434</v>
      </c>
      <c r="X136" s="4" t="n">
        <v>24</v>
      </c>
      <c r="Y136" s="4" t="inlineStr">
        <is>
          <t>2026-06-15</t>
        </is>
      </c>
      <c r="Z136" s="4" t="inlineStr">
        <is>
          <t>2026-06-15T00:00:00+00:00</t>
        </is>
      </c>
      <c r="AA136" s="4" t="inlineStr">
        <is>
          <t>com.logistics.rider.pedidosya</t>
        </is>
      </c>
      <c r="AC136" s="4" t="n">
        <v>2</v>
      </c>
      <c r="AD136" s="4" t="inlineStr">
        <is>
          <t>2026-06-15</t>
        </is>
      </c>
      <c r="AE136" s="4" t="inlineStr">
        <is>
          <t>2026-06-15T00:00:00+00:00</t>
        </is>
      </c>
      <c r="AF136" s="4" t="inlineStr">
        <is>
          <t>com.logistics.rider.foody</t>
        </is>
      </c>
    </row>
    <row r="137">
      <c r="T137" s="7" t="inlineStr">
        <is>
          <t>2026-06-10</t>
        </is>
      </c>
      <c r="U137" s="7" t="inlineStr">
        <is>
          <t>com.logistics.rider.hungerstation</t>
        </is>
      </c>
      <c r="V137" s="7" t="n">
        <v>10284</v>
      </c>
      <c r="X137" s="7" t="n">
        <v>52</v>
      </c>
      <c r="Y137" s="7" t="inlineStr">
        <is>
          <t>2026-06-16</t>
        </is>
      </c>
      <c r="Z137" s="7" t="inlineStr">
        <is>
          <t>2026-06-16T00:00:00+00:00</t>
        </is>
      </c>
      <c r="AA137" s="7" t="inlineStr">
        <is>
          <t>com.logistics.rider.talabat</t>
        </is>
      </c>
      <c r="AC137" s="7" t="n">
        <v>20</v>
      </c>
      <c r="AD137" s="7" t="inlineStr">
        <is>
          <t>2026-06-15</t>
        </is>
      </c>
      <c r="AE137" s="7" t="inlineStr">
        <is>
          <t>2026-06-15T00:00:00+00:00</t>
        </is>
      </c>
      <c r="AF137" s="7" t="inlineStr">
        <is>
          <t>com.logistics.rider.foodora</t>
        </is>
      </c>
    </row>
    <row r="138">
      <c r="T138" s="4" t="inlineStr">
        <is>
          <t>2026-06-11</t>
        </is>
      </c>
      <c r="U138" s="4" t="inlineStr">
        <is>
          <t>com.logistics.rider.hungerstation</t>
        </is>
      </c>
      <c r="V138" s="4" t="n">
        <v>10458</v>
      </c>
      <c r="X138" s="4" t="n">
        <v>79</v>
      </c>
      <c r="Y138" s="4" t="inlineStr">
        <is>
          <t>2026-06-16</t>
        </is>
      </c>
      <c r="Z138" s="4" t="inlineStr">
        <is>
          <t>2026-06-16T00:00:00+00:00</t>
        </is>
      </c>
      <c r="AA138" s="4" t="inlineStr">
        <is>
          <t>com.logistics.rider.glovo</t>
        </is>
      </c>
      <c r="AC138" s="4" t="n">
        <v>4</v>
      </c>
      <c r="AD138" s="4" t="inlineStr">
        <is>
          <t>2026-06-15</t>
        </is>
      </c>
      <c r="AE138" s="4" t="inlineStr">
        <is>
          <t>2026-06-15T00:00:00+00:00</t>
        </is>
      </c>
      <c r="AF138" s="4" t="inlineStr">
        <is>
          <t>com.logistics.rider.efood</t>
        </is>
      </c>
    </row>
    <row r="139">
      <c r="T139" s="7" t="inlineStr">
        <is>
          <t>2026-06-12</t>
        </is>
      </c>
      <c r="U139" s="7" t="inlineStr">
        <is>
          <t>com.logistics.rider.hungerstation</t>
        </is>
      </c>
      <c r="V139" s="7" t="n">
        <v>10153</v>
      </c>
      <c r="X139" s="7" t="n">
        <v>1</v>
      </c>
      <c r="Y139" s="7" t="inlineStr">
        <is>
          <t>2026-06-16</t>
        </is>
      </c>
      <c r="Z139" s="7" t="inlineStr">
        <is>
          <t>2026-06-16T00:00:00+00:00</t>
        </is>
      </c>
      <c r="AA139" s="7" t="inlineStr">
        <is>
          <t>com.logistics.rider.foody</t>
        </is>
      </c>
      <c r="AC139" s="7" t="n">
        <v>39</v>
      </c>
      <c r="AD139" s="7" t="inlineStr">
        <is>
          <t>2026-06-15</t>
        </is>
      </c>
      <c r="AE139" s="7" t="inlineStr">
        <is>
          <t>2026-06-15T00:00:00+00:00</t>
        </is>
      </c>
      <c r="AF139" s="7" t="inlineStr">
        <is>
          <t>com.logistics.rider.hungerstation</t>
        </is>
      </c>
    </row>
    <row r="140">
      <c r="T140" s="4" t="inlineStr">
        <is>
          <t>2026-06-13</t>
        </is>
      </c>
      <c r="U140" s="4" t="inlineStr">
        <is>
          <t>com.logistics.rider.hungerstation</t>
        </is>
      </c>
      <c r="V140" s="4" t="n">
        <v>9843</v>
      </c>
      <c r="X140" s="4" t="n">
        <v>38</v>
      </c>
      <c r="Y140" s="4" t="inlineStr">
        <is>
          <t>2026-06-16</t>
        </is>
      </c>
      <c r="Z140" s="4" t="inlineStr">
        <is>
          <t>2026-06-16T00:00:00+00:00</t>
        </is>
      </c>
      <c r="AA140" s="4" t="inlineStr">
        <is>
          <t>com.logistics.rider.pedidosya</t>
        </is>
      </c>
      <c r="AC140" s="4" t="n">
        <v>132</v>
      </c>
      <c r="AD140" s="4" t="inlineStr">
        <is>
          <t>2026-06-15</t>
        </is>
      </c>
      <c r="AE140" s="4" t="inlineStr">
        <is>
          <t>2026-06-15T00:00:00+00:00</t>
        </is>
      </c>
      <c r="AF140" s="4" t="inlineStr">
        <is>
          <t>com.logistics.rider.talabat</t>
        </is>
      </c>
    </row>
    <row r="141">
      <c r="T141" s="7" t="inlineStr">
        <is>
          <t>2026-06-14</t>
        </is>
      </c>
      <c r="U141" s="7" t="inlineStr">
        <is>
          <t>com.logistics.rider.hungerstation</t>
        </is>
      </c>
      <c r="V141" s="7" t="n">
        <v>10433</v>
      </c>
      <c r="X141" s="7" t="n">
        <v>17</v>
      </c>
      <c r="Y141" s="7" t="inlineStr">
        <is>
          <t>2026-06-16</t>
        </is>
      </c>
      <c r="Z141" s="7" t="inlineStr">
        <is>
          <t>2026-06-16T00:00:00+00:00</t>
        </is>
      </c>
      <c r="AA141" s="7" t="inlineStr">
        <is>
          <t>com.logistics.rider.foodora</t>
        </is>
      </c>
      <c r="AC141" s="7" t="n">
        <v>39</v>
      </c>
      <c r="AD141" s="7" t="inlineStr">
        <is>
          <t>2026-06-15</t>
        </is>
      </c>
      <c r="AE141" s="7" t="inlineStr">
        <is>
          <t>2026-06-15T00:00:00+00:00</t>
        </is>
      </c>
      <c r="AF141" s="7" t="inlineStr">
        <is>
          <t>com.logistics.rider.pedidosya</t>
        </is>
      </c>
    </row>
    <row r="142">
      <c r="T142" s="4" t="inlineStr">
        <is>
          <t>2026-06-15</t>
        </is>
      </c>
      <c r="U142" s="4" t="inlineStr">
        <is>
          <t>com.logistics.rider.hungerstation</t>
        </is>
      </c>
      <c r="V142" s="4" t="n">
        <v>10670</v>
      </c>
      <c r="X142" s="4" t="n">
        <v>19</v>
      </c>
      <c r="Y142" s="4" t="inlineStr">
        <is>
          <t>2026-06-16</t>
        </is>
      </c>
      <c r="Z142" s="4" t="inlineStr">
        <is>
          <t>2026-06-16T00:00:00+00:00</t>
        </is>
      </c>
      <c r="AA142" s="4" t="inlineStr">
        <is>
          <t>com.logistics.rider.hungerstation</t>
        </is>
      </c>
      <c r="AC142" s="4" t="n">
        <v>3</v>
      </c>
      <c r="AD142" s="4" t="inlineStr">
        <is>
          <t>2026-06-16</t>
        </is>
      </c>
      <c r="AE142" s="4" t="inlineStr">
        <is>
          <t>2026-06-16T00:00:00+00:00</t>
        </is>
      </c>
      <c r="AF142" s="4" t="inlineStr">
        <is>
          <t>com.logistics.rider.woowabros</t>
        </is>
      </c>
    </row>
    <row r="143">
      <c r="T143" s="7" t="inlineStr">
        <is>
          <t>2026-06-16</t>
        </is>
      </c>
      <c r="U143" s="7" t="inlineStr">
        <is>
          <t>com.logistics.rider.hungerstation</t>
        </is>
      </c>
      <c r="V143" s="7" t="n">
        <v>10599</v>
      </c>
      <c r="X143" s="7" t="n">
        <v>116</v>
      </c>
      <c r="Y143" s="7" t="inlineStr">
        <is>
          <t>2026-06-16</t>
        </is>
      </c>
      <c r="Z143" s="7" t="inlineStr">
        <is>
          <t>2026-06-16T00:00:00+00:00</t>
        </is>
      </c>
      <c r="AA143" s="7" t="inlineStr">
        <is>
          <t>com.logistics.rider.foodpanda</t>
        </is>
      </c>
      <c r="AC143" s="7" t="n">
        <v>44</v>
      </c>
      <c r="AD143" s="7" t="inlineStr">
        <is>
          <t>2026-06-16</t>
        </is>
      </c>
      <c r="AE143" s="7" t="inlineStr">
        <is>
          <t>2026-06-16T00:00:00+00:00</t>
        </is>
      </c>
      <c r="AF143" s="7" t="inlineStr">
        <is>
          <t>com.logistics.rider.pedidosya</t>
        </is>
      </c>
    </row>
    <row r="144">
      <c r="T144" s="4" t="inlineStr">
        <is>
          <t>2026-06-13</t>
        </is>
      </c>
      <c r="U144" s="4" t="inlineStr">
        <is>
          <t>com.logistics.rider.hungerstation50987</t>
        </is>
      </c>
      <c r="V144" s="4" t="n">
        <v>1</v>
      </c>
      <c r="X144" s="4" t="n">
        <v>30</v>
      </c>
      <c r="Y144" s="4" t="inlineStr">
        <is>
          <t>2026-06-16</t>
        </is>
      </c>
      <c r="Z144" s="4" t="inlineStr">
        <is>
          <t>2026-06-16T00:00:00+00:00</t>
        </is>
      </c>
      <c r="AA144" s="4" t="inlineStr"/>
      <c r="AC144" s="4" t="n">
        <v>350</v>
      </c>
      <c r="AD144" s="4" t="inlineStr">
        <is>
          <t>2026-06-16</t>
        </is>
      </c>
      <c r="AE144" s="4" t="inlineStr">
        <is>
          <t>2026-06-16T00:00:00+00:00</t>
        </is>
      </c>
      <c r="AF144" s="4" t="inlineStr">
        <is>
          <t>com.logistics.rider.foodpanda</t>
        </is>
      </c>
    </row>
    <row r="145">
      <c r="T145" s="7" t="inlineStr">
        <is>
          <t>2026-06-13</t>
        </is>
      </c>
      <c r="U145" s="7" t="inlineStr">
        <is>
          <t>com.logistics.rider.hungerstation75114</t>
        </is>
      </c>
      <c r="V145" s="7" t="n">
        <v>1</v>
      </c>
      <c r="X145" s="7" t="n">
        <v>9</v>
      </c>
      <c r="Y145" s="7" t="inlineStr">
        <is>
          <t>2026-06-16</t>
        </is>
      </c>
      <c r="Z145" s="7" t="inlineStr">
        <is>
          <t>2026-06-16T00:00:00+00:00</t>
        </is>
      </c>
      <c r="AA145" s="7" t="inlineStr">
        <is>
          <t>com.logistics.rider.efood</t>
        </is>
      </c>
      <c r="AC145" s="7" t="n">
        <v>4</v>
      </c>
      <c r="AD145" s="7" t="inlineStr">
        <is>
          <t>2026-06-16</t>
        </is>
      </c>
      <c r="AE145" s="7" t="inlineStr">
        <is>
          <t>2026-06-16T00:00:00+00:00</t>
        </is>
      </c>
      <c r="AF145" s="7" t="inlineStr">
        <is>
          <t>com.logistics.rider.efood</t>
        </is>
      </c>
    </row>
    <row r="146">
      <c r="T146" s="4" t="inlineStr">
        <is>
          <t>2026-06-01</t>
        </is>
      </c>
      <c r="U146" s="4" t="inlineStr">
        <is>
          <t>com.logistics.rider.pedidosya</t>
        </is>
      </c>
      <c r="V146" s="4" t="n">
        <v>21493</v>
      </c>
      <c r="X146" s="4" t="n"/>
      <c r="Y146" s="4" t="n"/>
      <c r="Z146" s="4" t="n"/>
      <c r="AA146" s="4" t="n"/>
      <c r="AC146" s="4" t="n">
        <v>120</v>
      </c>
      <c r="AD146" s="4" t="inlineStr">
        <is>
          <t>2026-06-16</t>
        </is>
      </c>
      <c r="AE146" s="4" t="inlineStr">
        <is>
          <t>2026-06-16T00:00:00+00:00</t>
        </is>
      </c>
      <c r="AF146" s="4" t="inlineStr">
        <is>
          <t>com.logistics.rider.glovo</t>
        </is>
      </c>
    </row>
    <row r="147">
      <c r="T147" s="7" t="inlineStr">
        <is>
          <t>2026-06-02</t>
        </is>
      </c>
      <c r="U147" s="7" t="inlineStr">
        <is>
          <t>com.logistics.rider.pedidosya</t>
        </is>
      </c>
      <c r="V147" s="7" t="n">
        <v>21012</v>
      </c>
      <c r="X147" s="7" t="n"/>
      <c r="Y147" s="7" t="n"/>
      <c r="Z147" s="7" t="n"/>
      <c r="AA147" s="7" t="n"/>
      <c r="AC147" s="7" t="n">
        <v>1</v>
      </c>
      <c r="AD147" s="7" t="inlineStr">
        <is>
          <t>2026-06-16</t>
        </is>
      </c>
      <c r="AE147" s="7" t="inlineStr">
        <is>
          <t>2026-06-16T00:00:00+00:00</t>
        </is>
      </c>
      <c r="AF147" s="7" t="inlineStr">
        <is>
          <t>com.logistics.rider.yemeksepeti</t>
        </is>
      </c>
    </row>
    <row r="148">
      <c r="T148" s="4" t="inlineStr">
        <is>
          <t>2026-06-03</t>
        </is>
      </c>
      <c r="U148" s="4" t="inlineStr">
        <is>
          <t>com.logistics.rider.pedidosya</t>
        </is>
      </c>
      <c r="V148" s="4" t="n">
        <v>21635</v>
      </c>
      <c r="X148" s="4" t="n"/>
      <c r="Y148" s="4" t="n"/>
      <c r="Z148" s="4" t="n"/>
      <c r="AA148" s="4" t="n"/>
      <c r="AC148" s="4" t="n">
        <v>23</v>
      </c>
      <c r="AD148" s="4" t="inlineStr">
        <is>
          <t>2026-06-16</t>
        </is>
      </c>
      <c r="AE148" s="4" t="inlineStr">
        <is>
          <t>2026-06-16T00:00:00+00:00</t>
        </is>
      </c>
      <c r="AF148" s="4" t="inlineStr">
        <is>
          <t>com.logistics.rider.foodora</t>
        </is>
      </c>
    </row>
    <row r="149">
      <c r="T149" s="7" t="inlineStr">
        <is>
          <t>2026-06-04</t>
        </is>
      </c>
      <c r="U149" s="7" t="inlineStr">
        <is>
          <t>com.logistics.rider.pedidosya</t>
        </is>
      </c>
      <c r="V149" s="7" t="n">
        <v>21969</v>
      </c>
      <c r="X149" s="7" t="n"/>
      <c r="Y149" s="7" t="n"/>
      <c r="Z149" s="7" t="n"/>
      <c r="AA149" s="7" t="n"/>
      <c r="AC149" s="7" t="n">
        <v>152</v>
      </c>
      <c r="AD149" s="7" t="inlineStr">
        <is>
          <t>2026-06-16</t>
        </is>
      </c>
      <c r="AE149" s="7" t="inlineStr">
        <is>
          <t>2026-06-16T00:00:00+00:00</t>
        </is>
      </c>
      <c r="AF149" s="7" t="inlineStr">
        <is>
          <t>com.logistics.rider.talabat</t>
        </is>
      </c>
    </row>
    <row r="150">
      <c r="T150" s="4" t="inlineStr">
        <is>
          <t>2026-06-05</t>
        </is>
      </c>
      <c r="U150" s="4" t="inlineStr">
        <is>
          <t>com.logistics.rider.pedidosya</t>
        </is>
      </c>
      <c r="V150" s="4" t="n">
        <v>21723</v>
      </c>
      <c r="X150" s="4" t="n"/>
      <c r="Y150" s="4" t="n"/>
      <c r="Z150" s="4" t="n"/>
      <c r="AA150" s="4" t="n"/>
      <c r="AC150" s="4" t="n">
        <v>36</v>
      </c>
      <c r="AD150" s="4" t="inlineStr">
        <is>
          <t>2026-06-16</t>
        </is>
      </c>
      <c r="AE150" s="4" t="inlineStr">
        <is>
          <t>2026-06-16T00:00:00+00:00</t>
        </is>
      </c>
      <c r="AF150" s="4" t="inlineStr">
        <is>
          <t>com.logistics.rider.hungerstation</t>
        </is>
      </c>
    </row>
    <row r="151">
      <c r="T151" s="7" t="inlineStr">
        <is>
          <t>2026-06-06</t>
        </is>
      </c>
      <c r="U151" s="7" t="inlineStr">
        <is>
          <t>com.logistics.rider.pedidosya</t>
        </is>
      </c>
      <c r="V151" s="7" t="n">
        <v>20879</v>
      </c>
      <c r="X151" s="7" t="n"/>
      <c r="Y151" s="7" t="n"/>
      <c r="Z151" s="7" t="n"/>
      <c r="AA151" s="7" t="n"/>
      <c r="AC151" s="7" t="n"/>
      <c r="AD151" s="7" t="n"/>
      <c r="AE151" s="7" t="n"/>
      <c r="AF151" s="7" t="n"/>
    </row>
    <row r="152">
      <c r="T152" s="4" t="inlineStr">
        <is>
          <t>2026-06-07</t>
        </is>
      </c>
      <c r="U152" s="4" t="inlineStr">
        <is>
          <t>com.logistics.rider.pedidosya</t>
        </is>
      </c>
      <c r="V152" s="4" t="n">
        <v>20783</v>
      </c>
      <c r="X152" s="4" t="n"/>
      <c r="Y152" s="4" t="n"/>
      <c r="Z152" s="4" t="n"/>
      <c r="AA152" s="4" t="n"/>
      <c r="AC152" s="4" t="n"/>
      <c r="AD152" s="4" t="n"/>
      <c r="AE152" s="4" t="n"/>
      <c r="AF152" s="4" t="n"/>
    </row>
    <row r="153">
      <c r="T153" s="7" t="inlineStr">
        <is>
          <t>2026-06-08</t>
        </is>
      </c>
      <c r="U153" s="7" t="inlineStr">
        <is>
          <t>com.logistics.rider.pedidosya</t>
        </is>
      </c>
      <c r="V153" s="7" t="n">
        <v>21875</v>
      </c>
      <c r="X153" s="7" t="n"/>
      <c r="Y153" s="7" t="n"/>
      <c r="Z153" s="7" t="n"/>
      <c r="AA153" s="7" t="n"/>
      <c r="AC153" s="7" t="n"/>
      <c r="AD153" s="7" t="n"/>
      <c r="AE153" s="7" t="n"/>
      <c r="AF153" s="7" t="n"/>
    </row>
    <row r="154">
      <c r="T154" s="4" t="inlineStr">
        <is>
          <t>2026-06-09</t>
        </is>
      </c>
      <c r="U154" s="4" t="inlineStr">
        <is>
          <t>com.logistics.rider.pedidosya</t>
        </is>
      </c>
      <c r="V154" s="4" t="n">
        <v>22103</v>
      </c>
      <c r="X154" s="4" t="n"/>
      <c r="Y154" s="4" t="n"/>
      <c r="Z154" s="4" t="n"/>
      <c r="AA154" s="4" t="n"/>
      <c r="AC154" s="4" t="n"/>
      <c r="AD154" s="4" t="n"/>
      <c r="AE154" s="4" t="n"/>
      <c r="AF154" s="4" t="n"/>
    </row>
    <row r="155">
      <c r="T155" s="7" t="inlineStr">
        <is>
          <t>2026-06-10</t>
        </is>
      </c>
      <c r="U155" s="7" t="inlineStr">
        <is>
          <t>com.logistics.rider.pedidosya</t>
        </is>
      </c>
      <c r="V155" s="7" t="n">
        <v>22799</v>
      </c>
      <c r="X155" s="7" t="n"/>
      <c r="Y155" s="7" t="n"/>
      <c r="Z155" s="7" t="n"/>
      <c r="AA155" s="7" t="n"/>
      <c r="AC155" s="7" t="n"/>
      <c r="AD155" s="7" t="n"/>
      <c r="AE155" s="7" t="n"/>
      <c r="AF155" s="7" t="n"/>
    </row>
    <row r="156">
      <c r="T156" s="4" t="inlineStr">
        <is>
          <t>2026-06-11</t>
        </is>
      </c>
      <c r="U156" s="4" t="inlineStr">
        <is>
          <t>com.logistics.rider.pedidosya</t>
        </is>
      </c>
      <c r="V156" s="4" t="n">
        <v>22705</v>
      </c>
      <c r="X156" s="4" t="n"/>
      <c r="Y156" s="4" t="n"/>
      <c r="Z156" s="4" t="n"/>
      <c r="AA156" s="4" t="n"/>
      <c r="AC156" s="4" t="n"/>
      <c r="AD156" s="4" t="n"/>
      <c r="AE156" s="4" t="n"/>
      <c r="AF156" s="4" t="n"/>
    </row>
    <row r="157">
      <c r="T157" s="7" t="inlineStr">
        <is>
          <t>2026-06-12</t>
        </is>
      </c>
      <c r="U157" s="7" t="inlineStr">
        <is>
          <t>com.logistics.rider.pedidosya</t>
        </is>
      </c>
      <c r="V157" s="7" t="n">
        <v>21885</v>
      </c>
      <c r="X157" s="7" t="n"/>
      <c r="Y157" s="7" t="n"/>
      <c r="Z157" s="7" t="n"/>
      <c r="AA157" s="7" t="n"/>
      <c r="AC157" s="7" t="n"/>
      <c r="AD157" s="7" t="n"/>
      <c r="AE157" s="7" t="n"/>
      <c r="AF157" s="7" t="n"/>
    </row>
    <row r="158">
      <c r="T158" s="4" t="inlineStr">
        <is>
          <t>2026-06-13</t>
        </is>
      </c>
      <c r="U158" s="4" t="inlineStr">
        <is>
          <t>com.logistics.rider.pedidosya</t>
        </is>
      </c>
      <c r="V158" s="4" t="n">
        <v>21360</v>
      </c>
      <c r="X158" s="4" t="n"/>
      <c r="Y158" s="4" t="n"/>
      <c r="Z158" s="4" t="n"/>
      <c r="AA158" s="4" t="n"/>
      <c r="AC158" s="4" t="n"/>
      <c r="AD158" s="4" t="n"/>
      <c r="AE158" s="4" t="n"/>
      <c r="AF158" s="4" t="n"/>
    </row>
    <row r="159">
      <c r="T159" s="7" t="inlineStr">
        <is>
          <t>2026-06-14</t>
        </is>
      </c>
      <c r="U159" s="7" t="inlineStr">
        <is>
          <t>com.logistics.rider.pedidosya</t>
        </is>
      </c>
      <c r="V159" s="7" t="n">
        <v>20612</v>
      </c>
      <c r="X159" s="7" t="n"/>
      <c r="Y159" s="7" t="n"/>
      <c r="Z159" s="7" t="n"/>
      <c r="AA159" s="7" t="n"/>
      <c r="AC159" s="7" t="n"/>
      <c r="AD159" s="7" t="n"/>
      <c r="AE159" s="7" t="n"/>
      <c r="AF159" s="7" t="n"/>
    </row>
    <row r="160">
      <c r="T160" s="4" t="inlineStr">
        <is>
          <t>2026-06-15</t>
        </is>
      </c>
      <c r="U160" s="4" t="inlineStr">
        <is>
          <t>com.logistics.rider.pedidosya</t>
        </is>
      </c>
      <c r="V160" s="4" t="n">
        <v>22101</v>
      </c>
      <c r="X160" s="4" t="n"/>
      <c r="Y160" s="4" t="n"/>
      <c r="Z160" s="4" t="n"/>
      <c r="AA160" s="4" t="n"/>
      <c r="AC160" s="4" t="n"/>
      <c r="AD160" s="4" t="n"/>
      <c r="AE160" s="4" t="n"/>
      <c r="AF160" s="4" t="n"/>
    </row>
    <row r="161">
      <c r="T161" s="7" t="inlineStr">
        <is>
          <t>2026-06-16</t>
        </is>
      </c>
      <c r="U161" s="7" t="inlineStr">
        <is>
          <t>com.logistics.rider.pedidosya</t>
        </is>
      </c>
      <c r="V161" s="7" t="n">
        <v>22665</v>
      </c>
      <c r="X161" s="7" t="n"/>
      <c r="Y161" s="7" t="n"/>
      <c r="Z161" s="7" t="n"/>
      <c r="AA161" s="7" t="n"/>
      <c r="AC161" s="7" t="n"/>
      <c r="AD161" s="7" t="n"/>
      <c r="AE161" s="7" t="n"/>
      <c r="AF161" s="7" t="n"/>
    </row>
    <row r="162">
      <c r="T162" s="4" t="inlineStr">
        <is>
          <t>2026-06-01</t>
        </is>
      </c>
      <c r="U162" s="4" t="inlineStr">
        <is>
          <t>com.logistics.rider.talabat</t>
        </is>
      </c>
      <c r="V162" s="4" t="n">
        <v>16634</v>
      </c>
      <c r="X162" s="4" t="n"/>
      <c r="Y162" s="4" t="n"/>
      <c r="Z162" s="4" t="n"/>
      <c r="AA162" s="4" t="n"/>
      <c r="AC162" s="4" t="n"/>
      <c r="AD162" s="4" t="n"/>
      <c r="AE162" s="4" t="n"/>
      <c r="AF162" s="4" t="n"/>
    </row>
    <row r="163">
      <c r="T163" s="7" t="inlineStr">
        <is>
          <t>2026-06-02</t>
        </is>
      </c>
      <c r="U163" s="7" t="inlineStr">
        <is>
          <t>com.logistics.rider.talabat</t>
        </is>
      </c>
      <c r="V163" s="7" t="n">
        <v>16721</v>
      </c>
      <c r="X163" s="7" t="n"/>
      <c r="Y163" s="7" t="n"/>
      <c r="Z163" s="7" t="n"/>
      <c r="AA163" s="7" t="n"/>
      <c r="AC163" s="7" t="n"/>
      <c r="AD163" s="7" t="n"/>
      <c r="AE163" s="7" t="n"/>
      <c r="AF163" s="7" t="n"/>
    </row>
    <row r="164">
      <c r="T164" s="4" t="inlineStr">
        <is>
          <t>2026-06-03</t>
        </is>
      </c>
      <c r="U164" s="4" t="inlineStr">
        <is>
          <t>com.logistics.rider.talabat</t>
        </is>
      </c>
      <c r="V164" s="4" t="n">
        <v>16586</v>
      </c>
      <c r="X164" s="4" t="n"/>
      <c r="Y164" s="4" t="n"/>
      <c r="Z164" s="4" t="n"/>
      <c r="AA164" s="4" t="n"/>
      <c r="AC164" s="4" t="n"/>
      <c r="AD164" s="4" t="n"/>
      <c r="AE164" s="4" t="n"/>
      <c r="AF164" s="4" t="n"/>
    </row>
    <row r="165">
      <c r="T165" s="7" t="inlineStr">
        <is>
          <t>2026-06-04</t>
        </is>
      </c>
      <c r="U165" s="7" t="inlineStr">
        <is>
          <t>com.logistics.rider.talabat</t>
        </is>
      </c>
      <c r="V165" s="7" t="n">
        <v>16419</v>
      </c>
      <c r="X165" s="7" t="n"/>
      <c r="Y165" s="7" t="n"/>
      <c r="Z165" s="7" t="n"/>
      <c r="AA165" s="7" t="n"/>
      <c r="AC165" s="7" t="n"/>
      <c r="AD165" s="7" t="n"/>
      <c r="AE165" s="7" t="n"/>
      <c r="AF165" s="7" t="n"/>
    </row>
    <row r="166">
      <c r="T166" s="4" t="inlineStr">
        <is>
          <t>2026-06-05</t>
        </is>
      </c>
      <c r="U166" s="4" t="inlineStr">
        <is>
          <t>com.logistics.rider.talabat</t>
        </is>
      </c>
      <c r="V166" s="4" t="n">
        <v>15946</v>
      </c>
      <c r="X166" s="4" t="n"/>
      <c r="Y166" s="4" t="n"/>
      <c r="Z166" s="4" t="n"/>
      <c r="AA166" s="4" t="n"/>
      <c r="AC166" s="4" t="n"/>
      <c r="AD166" s="4" t="n"/>
      <c r="AE166" s="4" t="n"/>
      <c r="AF166" s="4" t="n"/>
    </row>
    <row r="167">
      <c r="T167" s="7" t="inlineStr">
        <is>
          <t>2026-06-06</t>
        </is>
      </c>
      <c r="U167" s="7" t="inlineStr">
        <is>
          <t>com.logistics.rider.talabat</t>
        </is>
      </c>
      <c r="V167" s="7" t="n">
        <v>16042</v>
      </c>
      <c r="X167" s="7" t="n"/>
      <c r="Y167" s="7" t="n"/>
      <c r="Z167" s="7" t="n"/>
      <c r="AA167" s="7" t="n"/>
      <c r="AC167" s="7" t="n"/>
      <c r="AD167" s="7" t="n"/>
      <c r="AE167" s="7" t="n"/>
      <c r="AF167" s="7" t="n"/>
    </row>
    <row r="168">
      <c r="T168" s="4" t="inlineStr">
        <is>
          <t>2026-06-07</t>
        </is>
      </c>
      <c r="U168" s="4" t="inlineStr">
        <is>
          <t>com.logistics.rider.talabat</t>
        </is>
      </c>
      <c r="V168" s="4" t="n">
        <v>16409</v>
      </c>
      <c r="X168" s="4" t="n"/>
      <c r="Y168" s="4" t="n"/>
      <c r="Z168" s="4" t="n"/>
      <c r="AA168" s="4" t="n"/>
      <c r="AC168" s="4" t="n"/>
      <c r="AD168" s="4" t="n"/>
      <c r="AE168" s="4" t="n"/>
      <c r="AF168" s="4" t="n"/>
    </row>
    <row r="169">
      <c r="T169" s="7" t="inlineStr">
        <is>
          <t>2026-06-08</t>
        </is>
      </c>
      <c r="U169" s="7" t="inlineStr">
        <is>
          <t>com.logistics.rider.talabat</t>
        </is>
      </c>
      <c r="V169" s="7" t="n">
        <v>16831</v>
      </c>
      <c r="X169" s="7" t="n"/>
      <c r="Y169" s="7" t="n"/>
      <c r="Z169" s="7" t="n"/>
      <c r="AA169" s="7" t="n"/>
      <c r="AC169" s="7" t="n"/>
      <c r="AD169" s="7" t="n"/>
      <c r="AE169" s="7" t="n"/>
      <c r="AF169" s="7" t="n"/>
    </row>
    <row r="170">
      <c r="T170" s="4" t="inlineStr">
        <is>
          <t>2026-06-09</t>
        </is>
      </c>
      <c r="U170" s="4" t="inlineStr">
        <is>
          <t>com.logistics.rider.talabat</t>
        </is>
      </c>
      <c r="V170" s="4" t="n">
        <v>16886</v>
      </c>
      <c r="X170" s="4" t="n"/>
      <c r="Y170" s="4" t="n"/>
      <c r="Z170" s="4" t="n"/>
      <c r="AA170" s="4" t="n"/>
      <c r="AC170" s="4" t="n"/>
      <c r="AD170" s="4" t="n"/>
      <c r="AE170" s="4" t="n"/>
      <c r="AF170" s="4" t="n"/>
    </row>
    <row r="171">
      <c r="T171" s="7" t="inlineStr">
        <is>
          <t>2026-06-10</t>
        </is>
      </c>
      <c r="U171" s="7" t="inlineStr">
        <is>
          <t>com.logistics.rider.talabat</t>
        </is>
      </c>
      <c r="V171" s="7" t="n">
        <v>16694</v>
      </c>
      <c r="X171" s="7" t="n"/>
      <c r="Y171" s="7" t="n"/>
      <c r="Z171" s="7" t="n"/>
      <c r="AA171" s="7" t="n"/>
      <c r="AC171" s="7" t="n"/>
      <c r="AD171" s="7" t="n"/>
      <c r="AE171" s="7" t="n"/>
      <c r="AF171" s="7" t="n"/>
    </row>
    <row r="172">
      <c r="T172" s="4" t="inlineStr">
        <is>
          <t>2026-06-11</t>
        </is>
      </c>
      <c r="U172" s="4" t="inlineStr">
        <is>
          <t>com.logistics.rider.talabat</t>
        </is>
      </c>
      <c r="V172" s="4" t="n">
        <v>16659</v>
      </c>
      <c r="X172" s="4" t="n"/>
      <c r="Y172" s="4" t="n"/>
      <c r="Z172" s="4" t="n"/>
      <c r="AA172" s="4" t="n"/>
      <c r="AC172" s="4" t="n"/>
      <c r="AD172" s="4" t="n"/>
      <c r="AE172" s="4" t="n"/>
      <c r="AF172" s="4" t="n"/>
    </row>
    <row r="173">
      <c r="T173" s="7" t="inlineStr">
        <is>
          <t>2026-06-12</t>
        </is>
      </c>
      <c r="U173" s="7" t="inlineStr">
        <is>
          <t>com.logistics.rider.talabat</t>
        </is>
      </c>
      <c r="V173" s="7" t="n">
        <v>16268</v>
      </c>
      <c r="X173" s="7" t="n"/>
      <c r="Y173" s="7" t="n"/>
      <c r="Z173" s="7" t="n"/>
      <c r="AA173" s="7" t="n"/>
      <c r="AC173" s="7" t="n"/>
      <c r="AD173" s="7" t="n"/>
      <c r="AE173" s="7" t="n"/>
      <c r="AF173" s="7" t="n"/>
    </row>
    <row r="174">
      <c r="T174" s="4" t="inlineStr">
        <is>
          <t>2026-06-13</t>
        </is>
      </c>
      <c r="U174" s="4" t="inlineStr">
        <is>
          <t>com.logistics.rider.talabat</t>
        </is>
      </c>
      <c r="V174" s="4" t="n">
        <v>16259</v>
      </c>
      <c r="X174" s="4" t="n"/>
      <c r="Y174" s="4" t="n"/>
      <c r="Z174" s="4" t="n"/>
      <c r="AA174" s="4" t="n"/>
      <c r="AC174" s="4" t="n"/>
      <c r="AD174" s="4" t="n"/>
      <c r="AE174" s="4" t="n"/>
      <c r="AF174" s="4" t="n"/>
    </row>
    <row r="175">
      <c r="T175" s="7" t="inlineStr">
        <is>
          <t>2026-06-14</t>
        </is>
      </c>
      <c r="U175" s="7" t="inlineStr">
        <is>
          <t>com.logistics.rider.talabat</t>
        </is>
      </c>
      <c r="V175" s="7" t="n">
        <v>16600</v>
      </c>
      <c r="X175" s="7" t="n"/>
      <c r="Y175" s="7" t="n"/>
      <c r="Z175" s="7" t="n"/>
      <c r="AA175" s="7" t="n"/>
      <c r="AC175" s="7" t="n"/>
      <c r="AD175" s="7" t="n"/>
      <c r="AE175" s="7" t="n"/>
      <c r="AF175" s="7" t="n"/>
    </row>
    <row r="176">
      <c r="T176" s="4" t="inlineStr">
        <is>
          <t>2026-06-15</t>
        </is>
      </c>
      <c r="U176" s="4" t="inlineStr">
        <is>
          <t>com.logistics.rider.talabat</t>
        </is>
      </c>
      <c r="V176" s="4" t="n">
        <v>16913</v>
      </c>
      <c r="X176" s="4" t="n"/>
      <c r="Y176" s="4" t="n"/>
      <c r="Z176" s="4" t="n"/>
      <c r="AA176" s="4" t="n"/>
      <c r="AC176" s="4" t="n"/>
      <c r="AD176" s="4" t="n"/>
      <c r="AE176" s="4" t="n"/>
      <c r="AF176" s="4" t="n"/>
    </row>
    <row r="177">
      <c r="T177" s="7" t="inlineStr">
        <is>
          <t>2026-06-16</t>
        </is>
      </c>
      <c r="U177" s="7" t="inlineStr">
        <is>
          <t>com.logistics.rider.talabat</t>
        </is>
      </c>
      <c r="V177" s="7" t="n">
        <v>16991</v>
      </c>
      <c r="X177" s="7" t="n"/>
      <c r="Y177" s="7" t="n"/>
      <c r="Z177" s="7" t="n"/>
      <c r="AA177" s="7" t="n"/>
      <c r="AC177" s="7" t="n"/>
      <c r="AD177" s="7" t="n"/>
      <c r="AE177" s="7" t="n"/>
      <c r="AF177" s="7" t="n"/>
    </row>
    <row r="178">
      <c r="T178" s="4" t="inlineStr">
        <is>
          <t>2026-06-01</t>
        </is>
      </c>
      <c r="U178" s="4" t="inlineStr">
        <is>
          <t>com.logistics.rider.woowabros</t>
        </is>
      </c>
      <c r="V178" s="4" t="n">
        <v>724</v>
      </c>
      <c r="X178" s="4" t="n"/>
      <c r="Y178" s="4" t="n"/>
      <c r="Z178" s="4" t="n"/>
      <c r="AA178" s="4" t="n"/>
      <c r="AC178" s="4" t="n"/>
      <c r="AD178" s="4" t="n"/>
      <c r="AE178" s="4" t="n"/>
      <c r="AF178" s="4" t="n"/>
    </row>
    <row r="179">
      <c r="T179" s="7" t="inlineStr">
        <is>
          <t>2026-06-02</t>
        </is>
      </c>
      <c r="U179" s="7" t="inlineStr">
        <is>
          <t>com.logistics.rider.woowabros</t>
        </is>
      </c>
      <c r="V179" s="7" t="n">
        <v>746</v>
      </c>
      <c r="X179" s="7" t="n"/>
      <c r="Y179" s="7" t="n"/>
      <c r="Z179" s="7" t="n"/>
      <c r="AA179" s="7" t="n"/>
      <c r="AC179" s="7" t="n"/>
      <c r="AD179" s="7" t="n"/>
      <c r="AE179" s="7" t="n"/>
      <c r="AF179" s="7" t="n"/>
    </row>
    <row r="180">
      <c r="T180" s="4" t="inlineStr">
        <is>
          <t>2026-06-03</t>
        </is>
      </c>
      <c r="U180" s="4" t="inlineStr">
        <is>
          <t>com.logistics.rider.woowabros</t>
        </is>
      </c>
      <c r="V180" s="4" t="n">
        <v>723</v>
      </c>
      <c r="X180" s="4" t="n"/>
      <c r="Y180" s="4" t="n"/>
      <c r="Z180" s="4" t="n"/>
      <c r="AA180" s="4" t="n"/>
      <c r="AC180" s="4" t="n"/>
      <c r="AD180" s="4" t="n"/>
      <c r="AE180" s="4" t="n"/>
      <c r="AF180" s="4" t="n"/>
    </row>
    <row r="181">
      <c r="T181" s="7" t="inlineStr">
        <is>
          <t>2026-06-04</t>
        </is>
      </c>
      <c r="U181" s="7" t="inlineStr">
        <is>
          <t>com.logistics.rider.woowabros</t>
        </is>
      </c>
      <c r="V181" s="7" t="n">
        <v>708</v>
      </c>
      <c r="X181" s="7" t="n"/>
      <c r="Y181" s="7" t="n"/>
      <c r="Z181" s="7" t="n"/>
      <c r="AA181" s="7" t="n"/>
      <c r="AC181" s="7" t="n"/>
      <c r="AD181" s="7" t="n"/>
      <c r="AE181" s="7" t="n"/>
      <c r="AF181" s="7" t="n"/>
    </row>
    <row r="182">
      <c r="T182" s="4" t="inlineStr">
        <is>
          <t>2026-06-05</t>
        </is>
      </c>
      <c r="U182" s="4" t="inlineStr">
        <is>
          <t>com.logistics.rider.woowabros</t>
        </is>
      </c>
      <c r="V182" s="4" t="n">
        <v>735</v>
      </c>
      <c r="X182" s="4" t="n"/>
      <c r="Y182" s="4" t="n"/>
      <c r="Z182" s="4" t="n"/>
      <c r="AA182" s="4" t="n"/>
      <c r="AC182" s="4" t="n"/>
      <c r="AD182" s="4" t="n"/>
      <c r="AE182" s="4" t="n"/>
      <c r="AF182" s="4" t="n"/>
    </row>
    <row r="183">
      <c r="T183" s="7" t="inlineStr">
        <is>
          <t>2026-06-06</t>
        </is>
      </c>
      <c r="U183" s="7" t="inlineStr">
        <is>
          <t>com.logistics.rider.woowabros</t>
        </is>
      </c>
      <c r="V183" s="7" t="n">
        <v>714</v>
      </c>
      <c r="X183" s="7" t="n"/>
      <c r="Y183" s="7" t="n"/>
      <c r="Z183" s="7" t="n"/>
      <c r="AA183" s="7" t="n"/>
      <c r="AC183" s="7" t="n"/>
      <c r="AD183" s="7" t="n"/>
      <c r="AE183" s="7" t="n"/>
      <c r="AF183" s="7" t="n"/>
    </row>
    <row r="184">
      <c r="T184" s="4" t="inlineStr">
        <is>
          <t>2026-06-07</t>
        </is>
      </c>
      <c r="U184" s="4" t="inlineStr">
        <is>
          <t>com.logistics.rider.woowabros</t>
        </is>
      </c>
      <c r="V184" s="4" t="n">
        <v>706</v>
      </c>
      <c r="X184" s="4" t="n"/>
      <c r="Y184" s="4" t="n"/>
      <c r="Z184" s="4" t="n"/>
      <c r="AA184" s="4" t="n"/>
      <c r="AC184" s="4" t="n"/>
      <c r="AD184" s="4" t="n"/>
      <c r="AE184" s="4" t="n"/>
      <c r="AF184" s="4" t="n"/>
    </row>
    <row r="185">
      <c r="T185" s="7" t="inlineStr">
        <is>
          <t>2026-06-08</t>
        </is>
      </c>
      <c r="U185" s="7" t="inlineStr">
        <is>
          <t>com.logistics.rider.woowabros</t>
        </is>
      </c>
      <c r="V185" s="7" t="n">
        <v>729</v>
      </c>
      <c r="X185" s="7" t="n"/>
      <c r="Y185" s="7" t="n"/>
      <c r="Z185" s="7" t="n"/>
      <c r="AA185" s="7" t="n"/>
      <c r="AC185" s="7" t="n"/>
      <c r="AD185" s="7" t="n"/>
      <c r="AE185" s="7" t="n"/>
      <c r="AF185" s="7" t="n"/>
    </row>
    <row r="186">
      <c r="T186" s="4" t="inlineStr">
        <is>
          <t>2026-06-09</t>
        </is>
      </c>
      <c r="U186" s="4" t="inlineStr">
        <is>
          <t>com.logistics.rider.woowabros</t>
        </is>
      </c>
      <c r="V186" s="4" t="n">
        <v>719</v>
      </c>
      <c r="X186" s="4" t="n"/>
      <c r="Y186" s="4" t="n"/>
      <c r="Z186" s="4" t="n"/>
      <c r="AA186" s="4" t="n"/>
      <c r="AC186" s="4" t="n"/>
      <c r="AD186" s="4" t="n"/>
      <c r="AE186" s="4" t="n"/>
      <c r="AF186" s="4" t="n"/>
    </row>
    <row r="187">
      <c r="T187" s="7" t="inlineStr">
        <is>
          <t>2026-06-10</t>
        </is>
      </c>
      <c r="U187" s="7" t="inlineStr">
        <is>
          <t>com.logistics.rider.woowabros</t>
        </is>
      </c>
      <c r="V187" s="7" t="n">
        <v>719</v>
      </c>
      <c r="X187" s="7" t="n"/>
      <c r="Y187" s="7" t="n"/>
      <c r="Z187" s="7" t="n"/>
      <c r="AA187" s="7" t="n"/>
      <c r="AC187" s="7" t="n"/>
      <c r="AD187" s="7" t="n"/>
      <c r="AE187" s="7" t="n"/>
      <c r="AF187" s="7" t="n"/>
    </row>
    <row r="188">
      <c r="T188" s="4" t="inlineStr">
        <is>
          <t>2026-06-11</t>
        </is>
      </c>
      <c r="U188" s="4" t="inlineStr">
        <is>
          <t>com.logistics.rider.woowabros</t>
        </is>
      </c>
      <c r="V188" s="4" t="n">
        <v>730</v>
      </c>
      <c r="X188" s="4" t="n"/>
      <c r="Y188" s="4" t="n"/>
      <c r="Z188" s="4" t="n"/>
      <c r="AA188" s="4" t="n"/>
      <c r="AC188" s="4" t="n"/>
      <c r="AD188" s="4" t="n"/>
      <c r="AE188" s="4" t="n"/>
      <c r="AF188" s="4" t="n"/>
    </row>
    <row r="189">
      <c r="T189" s="7" t="inlineStr">
        <is>
          <t>2026-06-12</t>
        </is>
      </c>
      <c r="U189" s="7" t="inlineStr">
        <is>
          <t>com.logistics.rider.woowabros</t>
        </is>
      </c>
      <c r="V189" s="7" t="n">
        <v>740</v>
      </c>
      <c r="X189" s="7" t="n"/>
      <c r="Y189" s="7" t="n"/>
      <c r="Z189" s="7" t="n"/>
      <c r="AA189" s="7" t="n"/>
      <c r="AC189" s="7" t="n"/>
      <c r="AD189" s="7" t="n"/>
      <c r="AE189" s="7" t="n"/>
      <c r="AF189" s="7" t="n"/>
    </row>
    <row r="190">
      <c r="T190" s="4" t="inlineStr">
        <is>
          <t>2026-06-13</t>
        </is>
      </c>
      <c r="U190" s="4" t="inlineStr">
        <is>
          <t>com.logistics.rider.woowabros</t>
        </is>
      </c>
      <c r="V190" s="4" t="n">
        <v>708</v>
      </c>
      <c r="X190" s="4" t="n"/>
      <c r="Y190" s="4" t="n"/>
      <c r="Z190" s="4" t="n"/>
      <c r="AA190" s="4" t="n"/>
      <c r="AC190" s="4" t="n"/>
      <c r="AD190" s="4" t="n"/>
      <c r="AE190" s="4" t="n"/>
      <c r="AF190" s="4" t="n"/>
    </row>
    <row r="191">
      <c r="T191" s="7" t="inlineStr">
        <is>
          <t>2026-06-14</t>
        </is>
      </c>
      <c r="U191" s="7" t="inlineStr">
        <is>
          <t>com.logistics.rider.woowabros</t>
        </is>
      </c>
      <c r="V191" s="7" t="n">
        <v>698</v>
      </c>
      <c r="X191" s="7" t="n"/>
      <c r="Y191" s="7" t="n"/>
      <c r="Z191" s="7" t="n"/>
      <c r="AA191" s="7" t="n"/>
      <c r="AC191" s="7" t="n"/>
      <c r="AD191" s="7" t="n"/>
      <c r="AE191" s="7" t="n"/>
      <c r="AF191" s="7" t="n"/>
    </row>
    <row r="192">
      <c r="T192" s="4" t="inlineStr">
        <is>
          <t>2026-06-15</t>
        </is>
      </c>
      <c r="U192" s="4" t="inlineStr">
        <is>
          <t>com.logistics.rider.woowabros</t>
        </is>
      </c>
      <c r="V192" s="4" t="n">
        <v>691</v>
      </c>
      <c r="X192" s="4" t="n"/>
      <c r="Y192" s="4" t="n"/>
      <c r="Z192" s="4" t="n"/>
      <c r="AA192" s="4" t="n"/>
      <c r="AC192" s="4" t="n"/>
      <c r="AD192" s="4" t="n"/>
      <c r="AE192" s="4" t="n"/>
      <c r="AF192" s="4" t="n"/>
    </row>
    <row r="193">
      <c r="T193" s="7" t="inlineStr">
        <is>
          <t>2026-06-16</t>
        </is>
      </c>
      <c r="U193" s="7" t="inlineStr">
        <is>
          <t>com.logistics.rider.woowabros</t>
        </is>
      </c>
      <c r="V193" s="7" t="n">
        <v>695</v>
      </c>
      <c r="X193" s="7" t="n"/>
      <c r="Y193" s="7" t="n"/>
      <c r="Z193" s="7" t="n"/>
      <c r="AA193" s="7" t="n"/>
      <c r="AC193" s="7" t="n"/>
      <c r="AD193" s="7" t="n"/>
      <c r="AE193" s="7" t="n"/>
      <c r="AF193" s="7" t="n"/>
    </row>
    <row r="194">
      <c r="T194" s="4" t="inlineStr">
        <is>
          <t>2026-06-01</t>
        </is>
      </c>
      <c r="U194" s="4" t="inlineStr">
        <is>
          <t>com.logistics.rider.yemeksepeti</t>
        </is>
      </c>
      <c r="V194" s="4" t="n">
        <v>2188</v>
      </c>
      <c r="X194" s="4" t="n"/>
      <c r="Y194" s="4" t="n"/>
      <c r="Z194" s="4" t="n"/>
      <c r="AA194" s="4" t="n"/>
      <c r="AC194" s="4" t="n"/>
      <c r="AD194" s="4" t="n"/>
      <c r="AE194" s="4" t="n"/>
      <c r="AF194" s="4" t="n"/>
    </row>
    <row r="195">
      <c r="T195" s="7" t="inlineStr">
        <is>
          <t>2026-06-02</t>
        </is>
      </c>
      <c r="U195" s="7" t="inlineStr">
        <is>
          <t>com.logistics.rider.yemeksepeti</t>
        </is>
      </c>
      <c r="V195" s="7" t="n">
        <v>2046</v>
      </c>
      <c r="X195" s="7" t="n"/>
      <c r="Y195" s="7" t="n"/>
      <c r="Z195" s="7" t="n"/>
      <c r="AA195" s="7" t="n"/>
      <c r="AC195" s="7" t="n"/>
      <c r="AD195" s="7" t="n"/>
      <c r="AE195" s="7" t="n"/>
      <c r="AF195" s="7" t="n"/>
    </row>
    <row r="196">
      <c r="T196" s="4" t="inlineStr">
        <is>
          <t>2026-06-03</t>
        </is>
      </c>
      <c r="U196" s="4" t="inlineStr">
        <is>
          <t>com.logistics.rider.yemeksepeti</t>
        </is>
      </c>
      <c r="V196" s="4" t="n">
        <v>2338</v>
      </c>
      <c r="X196" s="4" t="n"/>
      <c r="Y196" s="4" t="n"/>
      <c r="Z196" s="4" t="n"/>
      <c r="AA196" s="4" t="n"/>
      <c r="AC196" s="4" t="n"/>
      <c r="AD196" s="4" t="n"/>
      <c r="AE196" s="4" t="n"/>
      <c r="AF196" s="4" t="n"/>
    </row>
    <row r="197">
      <c r="T197" s="7" t="inlineStr">
        <is>
          <t>2026-06-04</t>
        </is>
      </c>
      <c r="U197" s="7" t="inlineStr">
        <is>
          <t>com.logistics.rider.yemeksepeti</t>
        </is>
      </c>
      <c r="V197" s="7" t="n">
        <v>2152</v>
      </c>
      <c r="X197" s="7" t="n"/>
      <c r="Y197" s="7" t="n"/>
      <c r="Z197" s="7" t="n"/>
      <c r="AA197" s="7" t="n"/>
      <c r="AC197" s="7" t="n"/>
      <c r="AD197" s="7" t="n"/>
      <c r="AE197" s="7" t="n"/>
      <c r="AF197" s="7" t="n"/>
    </row>
    <row r="198">
      <c r="T198" s="4" t="inlineStr">
        <is>
          <t>2026-06-05</t>
        </is>
      </c>
      <c r="U198" s="4" t="inlineStr">
        <is>
          <t>com.logistics.rider.yemeksepeti</t>
        </is>
      </c>
      <c r="V198" s="4" t="n">
        <v>2003</v>
      </c>
      <c r="X198" s="4" t="n"/>
      <c r="Y198" s="4" t="n"/>
      <c r="Z198" s="4" t="n"/>
      <c r="AA198" s="4" t="n"/>
      <c r="AC198" s="4" t="n"/>
      <c r="AD198" s="4" t="n"/>
      <c r="AE198" s="4" t="n"/>
      <c r="AF198" s="4" t="n"/>
    </row>
    <row r="199">
      <c r="T199" s="7" t="inlineStr">
        <is>
          <t>2026-06-06</t>
        </is>
      </c>
      <c r="U199" s="7" t="inlineStr">
        <is>
          <t>com.logistics.rider.yemeksepeti</t>
        </is>
      </c>
      <c r="V199" s="7" t="n">
        <v>1895</v>
      </c>
      <c r="X199" s="7" t="n"/>
      <c r="Y199" s="7" t="n"/>
      <c r="Z199" s="7" t="n"/>
      <c r="AA199" s="7" t="n"/>
      <c r="AC199" s="7" t="n"/>
      <c r="AD199" s="7" t="n"/>
      <c r="AE199" s="7" t="n"/>
      <c r="AF199" s="7" t="n"/>
    </row>
    <row r="200">
      <c r="T200" s="4" t="inlineStr">
        <is>
          <t>2026-06-07</t>
        </is>
      </c>
      <c r="U200" s="4" t="inlineStr">
        <is>
          <t>com.logistics.rider.yemeksepeti</t>
        </is>
      </c>
      <c r="V200" s="4" t="n">
        <v>1935</v>
      </c>
      <c r="X200" s="4" t="n"/>
      <c r="Y200" s="4" t="n"/>
      <c r="Z200" s="4" t="n"/>
      <c r="AA200" s="4" t="n"/>
      <c r="AC200" s="4" t="n"/>
      <c r="AD200" s="4" t="n"/>
      <c r="AE200" s="4" t="n"/>
      <c r="AF200" s="4" t="n"/>
    </row>
    <row r="201">
      <c r="T201" s="7" t="inlineStr">
        <is>
          <t>2026-06-08</t>
        </is>
      </c>
      <c r="U201" s="7" t="inlineStr">
        <is>
          <t>com.logistics.rider.yemeksepeti</t>
        </is>
      </c>
      <c r="V201" s="7" t="n">
        <v>2037</v>
      </c>
      <c r="X201" s="7" t="n"/>
      <c r="Y201" s="7" t="n"/>
      <c r="Z201" s="7" t="n"/>
      <c r="AA201" s="7" t="n"/>
      <c r="AC201" s="7" t="n"/>
      <c r="AD201" s="7" t="n"/>
      <c r="AE201" s="7" t="n"/>
      <c r="AF201" s="7" t="n"/>
    </row>
    <row r="202">
      <c r="T202" s="4" t="inlineStr">
        <is>
          <t>2026-06-09</t>
        </is>
      </c>
      <c r="U202" s="4" t="inlineStr">
        <is>
          <t>com.logistics.rider.yemeksepeti</t>
        </is>
      </c>
      <c r="V202" s="4" t="n">
        <v>2049</v>
      </c>
      <c r="X202" s="4" t="n"/>
      <c r="Y202" s="4" t="n"/>
      <c r="Z202" s="4" t="n"/>
      <c r="AA202" s="4" t="n"/>
      <c r="AC202" s="4" t="n"/>
      <c r="AD202" s="4" t="n"/>
      <c r="AE202" s="4" t="n"/>
      <c r="AF202" s="4" t="n"/>
    </row>
    <row r="203">
      <c r="T203" s="7" t="inlineStr">
        <is>
          <t>2026-06-10</t>
        </is>
      </c>
      <c r="U203" s="7" t="inlineStr">
        <is>
          <t>com.logistics.rider.yemeksepeti</t>
        </is>
      </c>
      <c r="V203" s="7" t="n">
        <v>2325</v>
      </c>
      <c r="X203" s="7" t="n"/>
      <c r="Y203" s="7" t="n"/>
      <c r="Z203" s="7" t="n"/>
      <c r="AA203" s="7" t="n"/>
      <c r="AC203" s="7" t="n"/>
      <c r="AD203" s="7" t="n"/>
      <c r="AE203" s="7" t="n"/>
      <c r="AF203" s="7" t="n"/>
    </row>
    <row r="204">
      <c r="T204" s="4" t="inlineStr">
        <is>
          <t>2026-06-11</t>
        </is>
      </c>
      <c r="U204" s="4" t="inlineStr">
        <is>
          <t>com.logistics.rider.yemeksepeti</t>
        </is>
      </c>
      <c r="V204" s="4" t="n">
        <v>2216</v>
      </c>
      <c r="X204" s="4" t="n"/>
      <c r="Y204" s="4" t="n"/>
      <c r="Z204" s="4" t="n"/>
      <c r="AA204" s="4" t="n"/>
      <c r="AC204" s="4" t="n"/>
      <c r="AD204" s="4" t="n"/>
      <c r="AE204" s="4" t="n"/>
      <c r="AF204" s="4" t="n"/>
    </row>
    <row r="205">
      <c r="T205" s="7" t="inlineStr">
        <is>
          <t>2026-06-12</t>
        </is>
      </c>
      <c r="U205" s="7" t="inlineStr">
        <is>
          <t>com.logistics.rider.yemeksepeti</t>
        </is>
      </c>
      <c r="V205" s="7" t="n">
        <v>2037</v>
      </c>
      <c r="X205" s="7" t="n"/>
      <c r="Y205" s="7" t="n"/>
      <c r="Z205" s="7" t="n"/>
      <c r="AA205" s="7" t="n"/>
      <c r="AC205" s="7" t="n"/>
      <c r="AD205" s="7" t="n"/>
      <c r="AE205" s="7" t="n"/>
      <c r="AF205" s="7" t="n"/>
    </row>
    <row r="206">
      <c r="T206" s="4" t="inlineStr">
        <is>
          <t>2026-06-13</t>
        </is>
      </c>
      <c r="U206" s="4" t="inlineStr">
        <is>
          <t>com.logistics.rider.yemeksepeti</t>
        </is>
      </c>
      <c r="V206" s="4" t="n">
        <v>2046</v>
      </c>
      <c r="X206" s="4" t="n"/>
      <c r="Y206" s="4" t="n"/>
      <c r="Z206" s="4" t="n"/>
      <c r="AA206" s="4" t="n"/>
      <c r="AC206" s="4" t="n"/>
      <c r="AD206" s="4" t="n"/>
      <c r="AE206" s="4" t="n"/>
      <c r="AF206" s="4" t="n"/>
    </row>
    <row r="207">
      <c r="T207" s="7" t="inlineStr">
        <is>
          <t>2026-06-14</t>
        </is>
      </c>
      <c r="U207" s="7" t="inlineStr">
        <is>
          <t>com.logistics.rider.yemeksepeti</t>
        </is>
      </c>
      <c r="V207" s="7" t="n">
        <v>2035</v>
      </c>
      <c r="X207" s="7" t="n"/>
      <c r="Y207" s="7" t="n"/>
      <c r="Z207" s="7" t="n"/>
      <c r="AA207" s="7" t="n"/>
      <c r="AC207" s="7" t="n"/>
      <c r="AD207" s="7" t="n"/>
      <c r="AE207" s="7" t="n"/>
      <c r="AF207" s="7" t="n"/>
    </row>
    <row r="208">
      <c r="T208" s="4" t="inlineStr">
        <is>
          <t>2026-06-15</t>
        </is>
      </c>
      <c r="U208" s="4" t="inlineStr">
        <is>
          <t>com.logistics.rider.yemeksepeti</t>
        </is>
      </c>
      <c r="V208" s="4" t="n">
        <v>2182</v>
      </c>
      <c r="X208" s="4" t="n"/>
      <c r="Y208" s="4" t="n"/>
      <c r="Z208" s="4" t="n"/>
      <c r="AA208" s="4" t="n"/>
      <c r="AC208" s="4" t="n"/>
      <c r="AD208" s="4" t="n"/>
      <c r="AE208" s="4" t="n"/>
      <c r="AF208" s="4" t="n"/>
    </row>
    <row r="209">
      <c r="T209" s="7" t="inlineStr">
        <is>
          <t>2026-06-16</t>
        </is>
      </c>
      <c r="U209" s="7" t="inlineStr">
        <is>
          <t>com.logistics.rider.yemeksepeti</t>
        </is>
      </c>
      <c r="V209" s="7" t="n">
        <v>2156</v>
      </c>
      <c r="X209" s="7" t="n"/>
      <c r="Y209" s="7" t="n"/>
      <c r="Z209" s="7" t="n"/>
      <c r="AA209" s="7" t="n"/>
      <c r="AC209" s="7" t="n"/>
      <c r="AD209" s="7" t="n"/>
      <c r="AE209" s="7" t="n"/>
      <c r="AF209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2026-06-17T15:01:44Z</dcterms:created>
  <dcterms:modified xmlns:dcterms="http://purl.org/dc/terms/" xmlns:xsi="http://www.w3.org/2001/XMLSchema-instance" xsi:type="dcterms:W3CDTF">2026-06-17T15:01:44Z</dcterms:modified>
</cp:coreProperties>
</file>