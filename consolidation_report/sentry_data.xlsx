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6.1" sheetId="3" state="visible" r:id="rId3"/>
    <sheet name="v4.2636.1 C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3.93</v>
      </c>
      <c r="F2" s="4" t="n">
        <v>1.2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3.93</v>
      </c>
      <c r="F3" s="7" t="n">
        <v>1.2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3.93</v>
      </c>
      <c r="F4" s="4" t="n">
        <v>1.2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3.93</v>
      </c>
      <c r="F5" s="7" t="n">
        <v>1.2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3.93</v>
      </c>
      <c r="F7" s="7" t="n">
        <v>1.2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3.93</v>
      </c>
      <c r="F8" s="4" t="n">
        <v>1.2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3.93</v>
      </c>
      <c r="F10" s="4" t="n">
        <v>1.2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3.93</v>
      </c>
      <c r="F11" s="7" t="n">
        <v>1.2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/>
      <c r="Y2" s="4" t="n"/>
      <c r="Z2" s="4" t="n"/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/>
      <c r="Y3" s="7" t="n"/>
      <c r="Z3" s="7" t="n"/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T4" s="4" t="n"/>
      <c r="U4" s="4" t="n"/>
      <c r="V4" s="4" t="n"/>
      <c r="X4" s="4" t="n"/>
      <c r="Y4" s="4" t="n"/>
      <c r="Z4" s="4" t="n"/>
      <c r="AB4" s="4" t="n">
        <v>21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T5" s="7" t="n"/>
      <c r="U5" s="7" t="n"/>
      <c r="V5" s="7" t="n"/>
      <c r="X5" s="7" t="n"/>
      <c r="Y5" s="7" t="n"/>
      <c r="Z5" s="7" t="n"/>
      <c r="AB5" s="7" t="n">
        <v>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T6" s="4" t="n"/>
      <c r="U6" s="4" t="n"/>
      <c r="V6" s="4" t="n"/>
      <c r="X6" s="4" t="n"/>
      <c r="Y6" s="4" t="n"/>
      <c r="Z6" s="4" t="n"/>
      <c r="AB6" s="4" t="n">
        <v>5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T7" s="7" t="n"/>
      <c r="U7" s="7" t="n"/>
      <c r="V7" s="7" t="n"/>
      <c r="X7" s="7" t="n"/>
      <c r="Y7" s="7" t="n"/>
      <c r="Z7" s="7" t="n"/>
      <c r="AB7" s="7" t="n">
        <v>8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T8" s="4" t="n"/>
      <c r="U8" s="4" t="n"/>
      <c r="V8" s="4" t="n"/>
      <c r="X8" s="4" t="n"/>
      <c r="Y8" s="4" t="n"/>
      <c r="Z8" s="4" t="n"/>
      <c r="AB8" s="4" t="n">
        <v>162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n"/>
      <c r="U9" s="7" t="n"/>
      <c r="V9" s="7" t="n"/>
      <c r="X9" s="7" t="n"/>
      <c r="Y9" s="7" t="n"/>
      <c r="Z9" s="7" t="n"/>
      <c r="AB9" s="7" t="n">
        <v>4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n"/>
      <c r="U10" s="4" t="n"/>
      <c r="V10" s="4" t="n"/>
      <c r="X10" s="4" t="n"/>
      <c r="Y10" s="4" t="n"/>
      <c r="Z10" s="4" t="n"/>
      <c r="AB10" s="4" t="n">
        <v>5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n"/>
      <c r="U11" s="7" t="n"/>
      <c r="V11" s="7" t="n"/>
      <c r="X11" s="7" t="n"/>
      <c r="Y11" s="7" t="n"/>
      <c r="Z11" s="7" t="n"/>
      <c r="AB11" s="7" t="n">
        <v>50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n"/>
      <c r="U12" s="4" t="n"/>
      <c r="V12" s="4" t="n"/>
      <c r="X12" s="4" t="n"/>
      <c r="Y12" s="4" t="n"/>
      <c r="Z12" s="4" t="n"/>
      <c r="AB12" s="4" t="n">
        <v>57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/>
      <c r="Y13" s="7" t="n"/>
      <c r="Z13" s="7" t="n"/>
      <c r="AB13" s="7" t="n">
        <v>2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/>
      <c r="Y14" s="4" t="n"/>
      <c r="Z14" s="4" t="n"/>
      <c r="AB14" s="4" t="n">
        <v>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/>
      <c r="Y15" s="7" t="n"/>
      <c r="Z15" s="7" t="n"/>
      <c r="AB15" s="7" t="n">
        <v>13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/>
      <c r="Y16" s="4" t="n"/>
      <c r="Z16" s="4" t="n"/>
      <c r="AB16" s="4" t="n">
        <v>188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/>
      <c r="Y17" s="7" t="n"/>
      <c r="Z17" s="7" t="n"/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/>
      <c r="Y18" s="4" t="n"/>
      <c r="Z18" s="4" t="n"/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/>
      <c r="Y19" s="7" t="n"/>
      <c r="Z19" s="7" t="n"/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/>
      <c r="Y20" s="4" t="n"/>
      <c r="Z20" s="4" t="n"/>
      <c r="AB20" s="4" t="n">
        <v>1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/>
      <c r="Y21" s="7" t="n"/>
      <c r="Z21" s="7" t="n"/>
      <c r="AB21" s="7" t="n">
        <v>327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/>
      <c r="Y22" s="4" t="n"/>
      <c r="Z22" s="4" t="n"/>
      <c r="AB22" s="4" t="n">
        <v>4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/>
      <c r="Y23" s="7" t="n"/>
      <c r="Z23" s="7" t="n"/>
      <c r="AB23" s="7" t="n">
        <v>2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/>
      <c r="Y24" s="4" t="n"/>
      <c r="Z24" s="4" t="n"/>
      <c r="AB24" s="4" t="n">
        <v>29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/>
      <c r="Y25" s="7" t="n"/>
      <c r="Z25" s="7" t="n"/>
      <c r="AB25" s="7" t="n">
        <v>3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/>
      <c r="Y26" s="4" t="n"/>
      <c r="Z26" s="4" t="n"/>
      <c r="AB26" s="4" t="n">
        <v>155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/>
      <c r="Y27" s="7" t="n"/>
      <c r="Z27" s="7" t="n"/>
      <c r="AB27" s="7" t="n">
        <v>2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/>
      <c r="Y28" s="4" t="n"/>
      <c r="Z28" s="4" t="n"/>
      <c r="AB28" s="4" t="n">
        <v>4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/>
      <c r="Y29" s="7" t="n"/>
      <c r="Z29" s="7" t="n"/>
      <c r="AB29" s="7" t="n">
        <v>53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/>
      <c r="Y30" s="4" t="n"/>
      <c r="Z30" s="4" t="n"/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/>
      <c r="Y31" s="7" t="n"/>
      <c r="Z31" s="7" t="n"/>
      <c r="AB31" s="7" t="n">
        <v>51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/>
      <c r="Y32" s="4" t="n"/>
      <c r="Z32" s="4" t="n"/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AVERAGE(D2:D3)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AVERAGE(H2:H3)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/>
      <c r="Y33" s="7" t="n"/>
      <c r="Z33" s="7" t="n"/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n"/>
      <c r="U34" s="4" t="n"/>
      <c r="V34" s="4" t="n"/>
      <c r="X34" s="4" t="n"/>
      <c r="Y34" s="4" t="n"/>
      <c r="Z34" s="4" t="n"/>
      <c r="AB34" s="4" t="n">
        <v>10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/>
      <c r="Y35" s="7" t="n"/>
      <c r="Z35" s="7" t="n"/>
      <c r="AB35" s="7" t="n">
        <v>2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/>
      <c r="Y36" s="4" t="n"/>
      <c r="Z36" s="4" t="n"/>
      <c r="AB36" s="4" t="n">
        <v>5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n"/>
      <c r="U37" s="7" t="n"/>
      <c r="V37" s="7" t="n"/>
      <c r="X37" s="7" t="n"/>
      <c r="Y37" s="7" t="n"/>
      <c r="Z37" s="7" t="n"/>
      <c r="AB37" s="7" t="n">
        <v>180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n"/>
      <c r="U38" s="4" t="n"/>
      <c r="V38" s="4" t="n"/>
      <c r="X38" s="4" t="n"/>
      <c r="Y38" s="4" t="n"/>
      <c r="Z38" s="4" t="n"/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n"/>
      <c r="U39" s="7" t="n"/>
      <c r="V39" s="7" t="n"/>
      <c r="X39" s="7" t="n"/>
      <c r="Y39" s="7" t="n"/>
      <c r="Z39" s="7" t="n"/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n"/>
      <c r="U40" s="4" t="n"/>
      <c r="V40" s="4" t="n"/>
      <c r="X40" s="4" t="n"/>
      <c r="Y40" s="4" t="n"/>
      <c r="Z40" s="4" t="n"/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n"/>
      <c r="U41" s="7" t="n"/>
      <c r="V41" s="7" t="n"/>
      <c r="X41" s="7" t="n"/>
      <c r="Y41" s="7" t="n"/>
      <c r="Z41" s="7" t="n"/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AB2" t="n">
        <v>37</v>
      </c>
      <c r="AC2" t="inlineStr">
        <is>
          <t>2026-09-01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AB3" t="n">
        <v>5</v>
      </c>
      <c r="AC3" t="inlineStr">
        <is>
          <t>2026-09-01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AB4" t="n">
        <v>1</v>
      </c>
      <c r="AC4" t="inlineStr">
        <is>
          <t>2026-09-01</t>
        </is>
      </c>
      <c r="AD4" t="inlineStr">
        <is>
          <t>com.logistics.rider.foodora</t>
        </is>
      </c>
    </row>
    <row r="5">
      <c r="C5" t="inlineStr">
        <is>
          <t>2026-09-04</t>
        </is>
      </c>
      <c r="AB5" t="n">
        <v>2</v>
      </c>
      <c r="AC5" t="inlineStr">
        <is>
          <t>2026-09-01</t>
        </is>
      </c>
      <c r="AD5" t="inlineStr">
        <is>
          <t>com.logistics.rider.foodora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AB6" t="n">
        <v>14</v>
      </c>
      <c r="AC6" t="inlineStr">
        <is>
          <t>2026-09-01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AB7" t="n">
        <v>4</v>
      </c>
      <c r="AC7" t="inlineStr">
        <is>
          <t>2026-09-01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AB8" t="n">
        <v>6</v>
      </c>
      <c r="AC8" t="inlineStr">
        <is>
          <t>2026-09-01</t>
        </is>
      </c>
      <c r="AD8" t="inlineStr">
        <is>
          <t>com.logistics.rider.pedidosya</t>
        </is>
      </c>
    </row>
    <row r="9">
      <c r="C9" t="inlineStr">
        <is>
          <t>2026-09-08</t>
        </is>
      </c>
      <c r="AB9" t="n">
        <v>5</v>
      </c>
      <c r="AC9" t="inlineStr">
        <is>
          <t>2026-09-01</t>
        </is>
      </c>
      <c r="AD9" t="inlineStr">
        <is>
          <t>com.logistics.rider.pedidosya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AB10" t="n">
        <v>8</v>
      </c>
      <c r="AC10" t="inlineStr">
        <is>
          <t>2026-09-01</t>
        </is>
      </c>
      <c r="AD10" t="inlineStr">
        <is>
          <t>com.logistics.rider.hungerstation</t>
        </is>
      </c>
    </row>
    <row r="11">
      <c r="C11" t="inlineStr">
        <is>
          <t>2026-09-10</t>
        </is>
      </c>
      <c r="AB11" t="n">
        <v>2</v>
      </c>
      <c r="AC11" t="inlineStr">
        <is>
          <t>2026-09-01</t>
        </is>
      </c>
      <c r="AD11" t="inlineStr">
        <is>
          <t>com.logistics.rider.hungerstation</t>
        </is>
      </c>
    </row>
    <row r="12">
      <c r="C12" t="inlineStr">
        <is>
          <t>2026-09-11</t>
        </is>
      </c>
      <c r="AB12" t="n">
        <v>19</v>
      </c>
      <c r="AC12" t="inlineStr">
        <is>
          <t>2026-09-01</t>
        </is>
      </c>
      <c r="AD12" t="inlineStr">
        <is>
          <t>com.logistics.rider.glovo</t>
        </is>
      </c>
    </row>
    <row r="13">
      <c r="C13" t="inlineStr">
        <is>
          <t>2026-09-12</t>
        </is>
      </c>
      <c r="AB13" t="n">
        <v>3</v>
      </c>
      <c r="AC13" t="inlineStr">
        <is>
          <t>2026-09-01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AB14" t="n">
        <v>3</v>
      </c>
      <c r="AC14" t="inlineStr">
        <is>
          <t>2026-09-01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AB15" t="n">
        <v>1</v>
      </c>
      <c r="AC15" t="inlineStr">
        <is>
          <t>2026-09-01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AB16" t="n">
        <v>1</v>
      </c>
      <c r="AC16" t="inlineStr">
        <is>
          <t>2026-09-01</t>
        </is>
      </c>
      <c r="AD16" t="inlineStr">
        <is>
          <t>com.logistics.rider.foody</t>
        </is>
      </c>
    </row>
    <row r="17">
      <c r="C17" t="inlineStr">
        <is>
          <t>2026-09-16</t>
        </is>
      </c>
      <c r="AB17" t="n">
        <v>57</v>
      </c>
      <c r="AC17" t="inlineStr">
        <is>
          <t>2026-09-02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AB18" t="n">
        <v>4</v>
      </c>
      <c r="AC18" t="inlineStr">
        <is>
          <t>2026-09-02</t>
        </is>
      </c>
      <c r="AD18" t="inlineStr">
        <is>
          <t>com.logistics.rider.foodpanda</t>
        </is>
      </c>
    </row>
    <row r="19">
      <c r="C19" t="inlineStr">
        <is>
          <t>2026-09-18</t>
        </is>
      </c>
      <c r="AB19" t="n">
        <v>2</v>
      </c>
      <c r="AC19" t="inlineStr">
        <is>
          <t>2026-09-02</t>
        </is>
      </c>
      <c r="AD19" t="inlineStr">
        <is>
          <t>com.logistics.rider.foodora</t>
        </is>
      </c>
    </row>
    <row r="20">
      <c r="C20" t="inlineStr">
        <is>
          <t>2026-09-19</t>
        </is>
      </c>
      <c r="AB20" t="n">
        <v>8</v>
      </c>
      <c r="AC20" t="inlineStr">
        <is>
          <t>2026-09-02</t>
        </is>
      </c>
      <c r="AD20" t="inlineStr">
        <is>
          <t>com.logistics.rider.foodora</t>
        </is>
      </c>
    </row>
    <row r="21">
      <c r="C21" t="inlineStr">
        <is>
          <t>2026-09-20</t>
        </is>
      </c>
      <c r="AB21" t="n">
        <v>2</v>
      </c>
      <c r="AC21" t="inlineStr">
        <is>
          <t>2026-09-02</t>
        </is>
      </c>
      <c r="AD21" t="inlineStr">
        <is>
          <t>com.logistics.rider.talabat</t>
        </is>
      </c>
    </row>
    <row r="22">
      <c r="C22" t="inlineStr">
        <is>
          <t>2026-09-21</t>
        </is>
      </c>
      <c r="AB22" t="n">
        <v>28</v>
      </c>
      <c r="AC22" t="inlineStr">
        <is>
          <t>2026-09-02</t>
        </is>
      </c>
      <c r="AD22" t="inlineStr">
        <is>
          <t>com.logistics.rider.talabat</t>
        </is>
      </c>
    </row>
    <row r="23">
      <c r="C23" t="inlineStr">
        <is>
          <t>2026-09-22</t>
        </is>
      </c>
      <c r="AB23" t="n">
        <v>1</v>
      </c>
      <c r="AC23" t="inlineStr">
        <is>
          <t>2026-09-02</t>
        </is>
      </c>
      <c r="AD23" t="inlineStr">
        <is>
          <t>com.logistics.rider.pedidosya</t>
        </is>
      </c>
    </row>
    <row r="24">
      <c r="C24" t="inlineStr">
        <is>
          <t>2026-09-23</t>
        </is>
      </c>
      <c r="AB24" t="n">
        <v>4</v>
      </c>
      <c r="AC24" t="inlineStr">
        <is>
          <t>2026-09-02</t>
        </is>
      </c>
      <c r="AD24" t="inlineStr">
        <is>
          <t>com.logistics.rider.pedidosya</t>
        </is>
      </c>
    </row>
    <row r="25">
      <c r="C25" t="inlineStr">
        <is>
          <t>2026-09-24</t>
        </is>
      </c>
      <c r="AB25" t="n">
        <v>2</v>
      </c>
      <c r="AC25" t="inlineStr">
        <is>
          <t>2026-09-02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AB26" t="n">
        <v>16</v>
      </c>
      <c r="AC26" t="inlineStr">
        <is>
          <t>2026-09-02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AB27" t="n">
        <v>1</v>
      </c>
      <c r="AC27" t="inlineStr">
        <is>
          <t>2026-09-02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AB28" t="n">
        <v>5</v>
      </c>
      <c r="AC28" t="inlineStr">
        <is>
          <t>2026-09-02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AB29" t="n">
        <v>1</v>
      </c>
      <c r="AC29" t="inlineStr">
        <is>
          <t>2026-09-02</t>
        </is>
      </c>
      <c r="AD29" t="inlineStr">
        <is>
          <t>com.logistics.rider.glovo</t>
        </is>
      </c>
    </row>
    <row r="30">
      <c r="C30" t="inlineStr">
        <is>
          <t>2026-09-29</t>
        </is>
      </c>
      <c r="AB30" t="n">
        <v>21</v>
      </c>
      <c r="AC30" t="inlineStr">
        <is>
          <t>2026-09-02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AB31" t="n">
        <v>1</v>
      </c>
      <c r="AC31" t="inlineStr">
        <is>
          <t>2026-09-02</t>
        </is>
      </c>
      <c r="AD31" t="inlineStr">
        <is>
          <t>com.logistics.rider.woowabros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AB32" t="n">
        <v>5</v>
      </c>
      <c r="AC32" t="inlineStr">
        <is>
          <t>2026-09-02</t>
        </is>
      </c>
      <c r="AD32" t="inlineStr">
        <is>
          <t>com.logistics.rider.efood</t>
        </is>
      </c>
    </row>
    <row r="33">
      <c r="D33">
        <f>AVERAGE(D2:D3)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AVERAGE(H2:H3)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TRUNC(MAX(0,MIN(100,(1-SUMIFS('v4.2636.1'!$X:$X,'v4.2636.1'!$Z:$Z,"*"&amp;$A2&amp;"*")/IF(SUMIFS('v4.2636.1'!$V:$V,'v4.2636.1'!$U:$U,"*"&amp;$A2&amp;"*")&gt;0,SUMIFS('v4.2636.1'!$V:$V,'v4.2636.1'!$U:$U,"*"&amp;$A2&amp;"*"),I2*30))*100)),2)</f>
        <v/>
      </c>
      <c r="C2" s="4">
        <f>TRUNC(MAX(0,MIN(100,(1-SUMIFS('v4.2636.1'!$AB:$AB,'v4.2636.1'!$AD:$AD,"*"&amp;$A2&amp;"*")/IF(SUMIFS('v4.2636.1'!$V:$V,'v4.2636.1'!$U:$U,"*"&amp;$A2&amp;"*")&gt;0,SUMIFS('v4.2636.1'!$V:$V,'v4.2636.1'!$U:$U,"*"&amp;$A2&amp;"*"),I2*30))*100)),2)</f>
        <v/>
      </c>
      <c r="D2" s="4" t="n">
        <v>77.8</v>
      </c>
      <c r="E2" s="4" t="n">
        <v>3.93</v>
      </c>
      <c r="F2" s="4" t="n">
        <v>0.996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TRUNC(MAX(0,MIN(100,(1-SUMIFS('v4.2636.1'!$X:$X,'v4.2636.1'!$Z:$Z,"*"&amp;$A3&amp;"*")/IF(SUMIFS('v4.2636.1'!$V:$V,'v4.2636.1'!$U:$U,"*"&amp;$A3&amp;"*")&gt;0,SUMIFS('v4.2636.1'!$V:$V,'v4.2636.1'!$U:$U,"*"&amp;$A3&amp;"*"),I3*30))*100)),2)</f>
        <v/>
      </c>
      <c r="C3" s="7">
        <f>TRUNC(MAX(0,MIN(100,(1-SUMIFS('v4.2636.1'!$AB:$AB,'v4.2636.1'!$AD:$AD,"*"&amp;$A3&amp;"*")/IF(SUMIFS('v4.2636.1'!$V:$V,'v4.2636.1'!$U:$U,"*"&amp;$A3&amp;"*")&gt;0,SUMIFS('v4.2636.1'!$V:$V,'v4.2636.1'!$U:$U,"*"&amp;$A3&amp;"*"),I3*30))*100)),2)</f>
        <v/>
      </c>
      <c r="D3" s="7" t="n">
        <v>83.2</v>
      </c>
      <c r="E3" s="7" t="n">
        <v>3.93</v>
      </c>
      <c r="F3" s="7" t="n">
        <v>0.996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TRUNC(MAX(0,MIN(100,(1-SUMIFS('v4.2636.1'!$X:$X,'v4.2636.1'!$Z:$Z,"*"&amp;$A4&amp;"*")/IF(SUMIFS('v4.2636.1'!$V:$V,'v4.2636.1'!$U:$U,"*"&amp;$A4&amp;"*")&gt;0,SUMIFS('v4.2636.1'!$V:$V,'v4.2636.1'!$U:$U,"*"&amp;$A4&amp;"*"),I4*30))*100)),2)</f>
        <v/>
      </c>
      <c r="C4" s="4">
        <f>TRUNC(MAX(0,MIN(100,(1-SUMIFS('v4.2636.1'!$AB:$AB,'v4.2636.1'!$AD:$AD,"*"&amp;$A4&amp;"*")/IF(SUMIFS('v4.2636.1'!$V:$V,'v4.2636.1'!$U:$U,"*"&amp;$A4&amp;"*")&gt;0,SUMIFS('v4.2636.1'!$V:$V,'v4.2636.1'!$U:$U,"*"&amp;$A4&amp;"*"),I4*30))*100)),2)</f>
        <v/>
      </c>
      <c r="D4" s="4" t="n">
        <v>77.8</v>
      </c>
      <c r="E4" s="4" t="n">
        <v>3.93</v>
      </c>
      <c r="F4" s="4" t="n">
        <v>0.996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TRUNC(MAX(0,MIN(100,(1-SUMIFS('v4.2636.1'!$X:$X,'v4.2636.1'!$Z:$Z,"*"&amp;$A5&amp;"*")/IF(SUMIFS('v4.2636.1'!$V:$V,'v4.2636.1'!$U:$U,"*"&amp;$A5&amp;"*")&gt;0,SUMIFS('v4.2636.1'!$V:$V,'v4.2636.1'!$U:$U,"*"&amp;$A5&amp;"*"),I5*30))*100)),2)</f>
        <v/>
      </c>
      <c r="C5" s="7">
        <f>TRUNC(MAX(0,MIN(100,(1-SUMIFS('v4.2636.1'!$AB:$AB,'v4.2636.1'!$AD:$AD,"*"&amp;$A5&amp;"*")/IF(SUMIFS('v4.2636.1'!$V:$V,'v4.2636.1'!$U:$U,"*"&amp;$A5&amp;"*")&gt;0,SUMIFS('v4.2636.1'!$V:$V,'v4.2636.1'!$U:$U,"*"&amp;$A5&amp;"*"),I5*30))*100)),2)</f>
        <v/>
      </c>
      <c r="D5" s="7" t="n">
        <v>68.40000000000001</v>
      </c>
      <c r="E5" s="7" t="n">
        <v>3.93</v>
      </c>
      <c r="F5" s="7" t="n">
        <v>0.996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TRUNC(MAX(0,MIN(100,(1-SUMIFS('v4.2636.1'!$X:$X,'v4.2636.1'!$Z:$Z,"*"&amp;$A6&amp;"*")/IF(SUMIFS('v4.2636.1'!$V:$V,'v4.2636.1'!$U:$U,"*"&amp;$A6&amp;"*")&gt;0,SUMIFS('v4.2636.1'!$V:$V,'v4.2636.1'!$U:$U,"*"&amp;$A6&amp;"*"),I6*30))*100)),2)</f>
        <v/>
      </c>
      <c r="C6" s="4">
        <f>TRUNC(MAX(0,MIN(100,(1-SUMIFS('v4.2636.1'!$AB:$AB,'v4.2636.1'!$AD:$AD,"*"&amp;$A6&amp;"*")/IF(SUMIFS('v4.2636.1'!$V:$V,'v4.2636.1'!$U:$U,"*"&amp;$A6&amp;"*")&gt;0,SUMIFS('v4.2636.1'!$V:$V,'v4.2636.1'!$U:$U,"*"&amp;$A6&amp;"*"),I6*30))*100)),2)</f>
        <v/>
      </c>
      <c r="D6" s="4" t="n">
        <v>78.3</v>
      </c>
      <c r="E6" s="4" t="n">
        <v>3.93</v>
      </c>
      <c r="F6" s="4" t="n">
        <v>0.996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TRUNC(MAX(0,MIN(100,(1-SUMIFS('v4.2636.1'!$X:$X,'v4.2636.1'!$Z:$Z,"*"&amp;$A7&amp;"*")/IF(SUMIFS('v4.2636.1'!$V:$V,'v4.2636.1'!$U:$U,"*"&amp;$A7&amp;"*")&gt;0,SUMIFS('v4.2636.1'!$V:$V,'v4.2636.1'!$U:$U,"*"&amp;$A7&amp;"*"),I7*30))*100)),2)</f>
        <v/>
      </c>
      <c r="C7" s="7">
        <f>TRUNC(MAX(0,MIN(100,(1-SUMIFS('v4.2636.1'!$AB:$AB,'v4.2636.1'!$AD:$AD,"*"&amp;$A7&amp;"*")/IF(SUMIFS('v4.2636.1'!$V:$V,'v4.2636.1'!$U:$U,"*"&amp;$A7&amp;"*")&gt;0,SUMIFS('v4.2636.1'!$V:$V,'v4.2636.1'!$U:$U,"*"&amp;$A7&amp;"*"),I7*30))*100)),2)</f>
        <v/>
      </c>
      <c r="D7" s="7" t="n">
        <v>78.3</v>
      </c>
      <c r="E7" s="7" t="n">
        <v>3.93</v>
      </c>
      <c r="F7" s="7" t="n">
        <v>0.996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TRUNC(MAX(0,MIN(100,(1-SUMIFS('v4.2636.1'!$X:$X,'v4.2636.1'!$Z:$Z,"*"&amp;$A8&amp;"*")/IF(SUMIFS('v4.2636.1'!$V:$V,'v4.2636.1'!$U:$U,"*"&amp;$A8&amp;"*")&gt;0,SUMIFS('v4.2636.1'!$V:$V,'v4.2636.1'!$U:$U,"*"&amp;$A8&amp;"*"),I8*30))*100)),2)</f>
        <v/>
      </c>
      <c r="C8" s="4">
        <f>TRUNC(MAX(0,MIN(100,(1-SUMIFS('v4.2636.1'!$AB:$AB,'v4.2636.1'!$AD:$AD,"*"&amp;$A8&amp;"*")/IF(SUMIFS('v4.2636.1'!$V:$V,'v4.2636.1'!$U:$U,"*"&amp;$A8&amp;"*")&gt;0,SUMIFS('v4.2636.1'!$V:$V,'v4.2636.1'!$U:$U,"*"&amp;$A8&amp;"*"),I8*30))*100)),2)</f>
        <v/>
      </c>
      <c r="D8" s="4" t="n">
        <v>77.90000000000001</v>
      </c>
      <c r="E8" s="4" t="n">
        <v>3.93</v>
      </c>
      <c r="F8" s="4" t="n">
        <v>0.996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TRUNC(MAX(0,MIN(100,(1-SUMIFS('v4.2636.1'!$X:$X,'v4.2636.1'!$Z:$Z,"*"&amp;$A9&amp;"*")/IF(SUMIFS('v4.2636.1'!$V:$V,'v4.2636.1'!$U:$U,"*"&amp;$A9&amp;"*")&gt;0,SUMIFS('v4.2636.1'!$V:$V,'v4.2636.1'!$U:$U,"*"&amp;$A9&amp;"*"),I9*30))*100)),2)</f>
        <v/>
      </c>
      <c r="C9" s="7">
        <f>TRUNC(MAX(0,MIN(100,(1-SUMIFS('v4.2636.1'!$AB:$AB,'v4.2636.1'!$AD:$AD,"*"&amp;$A9&amp;"*")/IF(SUMIFS('v4.2636.1'!$V:$V,'v4.2636.1'!$U:$U,"*"&amp;$A9&amp;"*")&gt;0,SUMIFS('v4.2636.1'!$V:$V,'v4.2636.1'!$U:$U,"*"&amp;$A9&amp;"*"),I9*30))*100)),2)</f>
        <v/>
      </c>
      <c r="D9" s="7" t="n">
        <v>78</v>
      </c>
      <c r="E9" s="7" t="n">
        <v>3.93</v>
      </c>
      <c r="F9" s="7" t="n">
        <v>0.996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TRUNC(MAX(0,MIN(100,(1-SUMIFS('v4.2636.1'!$X:$X,'v4.2636.1'!$Z:$Z,"*"&amp;$A10&amp;"*")/IF(SUMIFS('v4.2636.1'!$V:$V,'v4.2636.1'!$U:$U,"*"&amp;$A10&amp;"*")&gt;0,SUMIFS('v4.2636.1'!$V:$V,'v4.2636.1'!$U:$U,"*"&amp;$A10&amp;"*"),I10*30))*100)),2)</f>
        <v/>
      </c>
      <c r="C10" s="4">
        <f>TRUNC(MAX(0,MIN(100,(1-SUMIFS('v4.2636.1'!$AB:$AB,'v4.2636.1'!$AD:$AD,"*"&amp;$A10&amp;"*")/IF(SUMIFS('v4.2636.1'!$V:$V,'v4.2636.1'!$U:$U,"*"&amp;$A10&amp;"*")&gt;0,SUMIFS('v4.2636.1'!$V:$V,'v4.2636.1'!$U:$U,"*"&amp;$A10&amp;"*"),I10*30))*100)),2)</f>
        <v/>
      </c>
      <c r="D10" s="4" t="n">
        <v>68.09999999999999</v>
      </c>
      <c r="E10" s="4" t="n">
        <v>3.93</v>
      </c>
      <c r="F10" s="4" t="n">
        <v>0.996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TRUNC(MAX(0,MIN(100,(1-SUMIFS('v4.2636.1'!$X:$X,'v4.2636.1'!$Z:$Z,"*"&amp;$A11&amp;"*")/IF(SUMIFS('v4.2636.1'!$V:$V,'v4.2636.1'!$U:$U,"*"&amp;$A11&amp;"*")&gt;0,SUMIFS('v4.2636.1'!$V:$V,'v4.2636.1'!$U:$U,"*"&amp;$A11&amp;"*"),I11*30))*100)),2)</f>
        <v/>
      </c>
      <c r="C11" s="7">
        <f>TRUNC(MAX(0,MIN(100,(1-SUMIFS('v4.2636.1'!$AB:$AB,'v4.2636.1'!$AD:$AD,"*"&amp;$A11&amp;"*")/IF(SUMIFS('v4.2636.1'!$V:$V,'v4.2636.1'!$U:$U,"*"&amp;$A11&amp;"*")&gt;0,SUMIFS('v4.2636.1'!$V:$V,'v4.2636.1'!$U:$U,"*"&amp;$A11&amp;"*"),I11*30))*100)),2)</f>
        <v/>
      </c>
      <c r="D11" s="7" t="n">
        <v>68.09999999999999</v>
      </c>
      <c r="E11" s="7" t="n">
        <v>3.93</v>
      </c>
      <c r="F11" s="7" t="n">
        <v>0.996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2026-09-03T16:15:48Z</dcterms:created>
  <dcterms:modified xsi:type="dcterms:W3CDTF">2026-09-03T16:15:48Z</dcterms:modified>
</cp:coreProperties>
</file>